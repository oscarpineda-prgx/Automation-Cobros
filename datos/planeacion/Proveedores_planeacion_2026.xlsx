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Automation-Cobros\"/>
    </mc:Choice>
  </mc:AlternateContent>
  <xr:revisionPtr revIDLastSave="0" documentId="13_ncr:1_{05C539D9-4EE4-4AF6-9D04-1A4B67DB51CD}" xr6:coauthVersionLast="47" xr6:coauthVersionMax="47" xr10:uidLastSave="{00000000-0000-0000-0000-000000000000}"/>
  <bookViews>
    <workbookView xWindow="-120" yWindow="-120" windowWidth="38640" windowHeight="15840" xr2:uid="{0DABEACE-A191-46C7-B693-87D72E6051A1}"/>
  </bookViews>
  <sheets>
    <sheet name="Lista Proveedores" sheetId="1" r:id="rId1"/>
  </sheets>
  <externalReferences>
    <externalReference r:id="rId2"/>
    <externalReference r:id="rId3"/>
  </externalReferences>
  <definedNames>
    <definedName name="_xlnm._FilterDatabase" localSheetId="0" hidden="1">'Lista Proveedores'!$A$8:$Z$1052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052" i="1" l="1"/>
  <c r="G1052" i="1"/>
  <c r="Y1051" i="1"/>
  <c r="G1051" i="1"/>
  <c r="Y1050" i="1"/>
  <c r="G1050" i="1"/>
  <c r="Y1049" i="1"/>
  <c r="G1049" i="1"/>
  <c r="Y1048" i="1"/>
  <c r="G1048" i="1"/>
  <c r="Y1047" i="1"/>
  <c r="G1047" i="1"/>
  <c r="Y1046" i="1"/>
  <c r="G1046" i="1"/>
  <c r="Y1045" i="1"/>
  <c r="G1045" i="1"/>
  <c r="Y1044" i="1"/>
  <c r="G1044" i="1"/>
  <c r="Y1043" i="1"/>
  <c r="G1043" i="1"/>
  <c r="Y1042" i="1"/>
  <c r="G1042" i="1"/>
  <c r="Y1041" i="1"/>
  <c r="G1041" i="1"/>
  <c r="Y1040" i="1"/>
  <c r="G1040" i="1"/>
  <c r="Y1039" i="1"/>
  <c r="G1039" i="1"/>
  <c r="Y1038" i="1"/>
  <c r="G1038" i="1"/>
  <c r="Y1037" i="1"/>
  <c r="G1037" i="1"/>
  <c r="Y1036" i="1"/>
  <c r="G1036" i="1"/>
  <c r="Y1035" i="1"/>
  <c r="G1035" i="1"/>
  <c r="Y1034" i="1"/>
  <c r="G1034" i="1"/>
  <c r="Y1033" i="1"/>
  <c r="G1033" i="1"/>
  <c r="Y1032" i="1"/>
  <c r="G1032" i="1"/>
  <c r="Y1031" i="1"/>
  <c r="G1031" i="1"/>
  <c r="Y1030" i="1"/>
  <c r="G1030" i="1"/>
  <c r="Y1029" i="1"/>
  <c r="G1029" i="1"/>
  <c r="Y1028" i="1"/>
  <c r="G1028" i="1"/>
  <c r="Y1027" i="1"/>
  <c r="G1027" i="1"/>
  <c r="Y1026" i="1"/>
  <c r="G1026" i="1"/>
  <c r="Y1025" i="1"/>
  <c r="G1025" i="1"/>
  <c r="Y1024" i="1"/>
  <c r="G1024" i="1"/>
  <c r="Y1023" i="1"/>
  <c r="G1023" i="1"/>
  <c r="Y1022" i="1"/>
  <c r="G1022" i="1"/>
  <c r="Y1021" i="1"/>
  <c r="G1021" i="1"/>
  <c r="Y1020" i="1"/>
  <c r="G1020" i="1"/>
  <c r="Y1019" i="1"/>
  <c r="G1019" i="1"/>
  <c r="Y1018" i="1"/>
  <c r="G1018" i="1"/>
  <c r="Y1017" i="1"/>
  <c r="G1017" i="1"/>
  <c r="Y1016" i="1"/>
  <c r="G1016" i="1"/>
  <c r="Y1015" i="1"/>
  <c r="G1015" i="1"/>
  <c r="Y1014" i="1"/>
  <c r="G1014" i="1"/>
  <c r="Y1013" i="1"/>
  <c r="G1013" i="1"/>
  <c r="Y1012" i="1"/>
  <c r="G1012" i="1"/>
  <c r="Y1011" i="1"/>
  <c r="G1011" i="1"/>
  <c r="Y1010" i="1"/>
  <c r="G1010" i="1"/>
  <c r="Y1009" i="1"/>
  <c r="G1009" i="1"/>
  <c r="Y1008" i="1"/>
  <c r="G1008" i="1"/>
  <c r="Y1007" i="1"/>
  <c r="G1007" i="1"/>
  <c r="Y1006" i="1"/>
  <c r="G1006" i="1"/>
  <c r="Y1005" i="1"/>
  <c r="G1005" i="1"/>
  <c r="Y1004" i="1"/>
  <c r="G1004" i="1"/>
  <c r="Y1003" i="1"/>
  <c r="G1003" i="1"/>
  <c r="Y1002" i="1"/>
  <c r="G1002" i="1"/>
  <c r="Y1001" i="1"/>
  <c r="G1001" i="1"/>
  <c r="Y1000" i="1"/>
  <c r="G1000" i="1"/>
  <c r="Y999" i="1"/>
  <c r="G999" i="1"/>
  <c r="Y998" i="1"/>
  <c r="G998" i="1"/>
  <c r="Y997" i="1"/>
  <c r="G997" i="1"/>
  <c r="Y996" i="1"/>
  <c r="G996" i="1"/>
  <c r="Y995" i="1"/>
  <c r="G995" i="1"/>
  <c r="Y994" i="1"/>
  <c r="G994" i="1"/>
  <c r="Y993" i="1"/>
  <c r="G993" i="1"/>
  <c r="Y992" i="1"/>
  <c r="G992" i="1"/>
  <c r="Y991" i="1"/>
  <c r="G991" i="1"/>
  <c r="Y990" i="1"/>
  <c r="G990" i="1"/>
  <c r="Y989" i="1"/>
  <c r="G989" i="1"/>
  <c r="Y988" i="1"/>
  <c r="G988" i="1"/>
  <c r="Y987" i="1"/>
  <c r="G987" i="1"/>
  <c r="Y986" i="1"/>
  <c r="G986" i="1"/>
  <c r="Y985" i="1"/>
  <c r="G985" i="1"/>
  <c r="Y984" i="1"/>
  <c r="G984" i="1"/>
  <c r="Y983" i="1"/>
  <c r="G983" i="1"/>
  <c r="Y982" i="1"/>
  <c r="G982" i="1"/>
  <c r="Y981" i="1"/>
  <c r="G981" i="1"/>
  <c r="Y980" i="1"/>
  <c r="G980" i="1"/>
  <c r="Y979" i="1"/>
  <c r="G979" i="1"/>
  <c r="Y978" i="1"/>
  <c r="G978" i="1"/>
  <c r="Y977" i="1"/>
  <c r="G977" i="1"/>
  <c r="Y976" i="1"/>
  <c r="G976" i="1"/>
  <c r="Y975" i="1"/>
  <c r="G975" i="1"/>
  <c r="Y974" i="1"/>
  <c r="G974" i="1"/>
  <c r="Y973" i="1"/>
  <c r="G973" i="1"/>
  <c r="Y972" i="1"/>
  <c r="G972" i="1"/>
  <c r="Y971" i="1"/>
  <c r="G971" i="1"/>
  <c r="Y970" i="1"/>
  <c r="G970" i="1"/>
  <c r="Y969" i="1"/>
  <c r="G969" i="1"/>
  <c r="Y968" i="1"/>
  <c r="G968" i="1"/>
  <c r="Y967" i="1"/>
  <c r="G967" i="1"/>
  <c r="Y966" i="1"/>
  <c r="G966" i="1"/>
  <c r="Y965" i="1"/>
  <c r="G965" i="1"/>
  <c r="Y964" i="1"/>
  <c r="G964" i="1"/>
  <c r="Y963" i="1"/>
  <c r="G963" i="1"/>
  <c r="Y962" i="1"/>
  <c r="G962" i="1"/>
  <c r="Y961" i="1"/>
  <c r="G961" i="1"/>
  <c r="Y960" i="1"/>
  <c r="G960" i="1"/>
  <c r="Y959" i="1"/>
  <c r="G959" i="1"/>
  <c r="Y958" i="1"/>
  <c r="G958" i="1"/>
  <c r="Y957" i="1"/>
  <c r="G957" i="1"/>
  <c r="Y956" i="1"/>
  <c r="G956" i="1"/>
  <c r="Y955" i="1"/>
  <c r="G955" i="1"/>
  <c r="Y954" i="1"/>
  <c r="G954" i="1"/>
  <c r="Y953" i="1"/>
  <c r="G953" i="1"/>
  <c r="Y952" i="1"/>
  <c r="G952" i="1"/>
  <c r="Y951" i="1"/>
  <c r="G951" i="1"/>
  <c r="Y950" i="1"/>
  <c r="G950" i="1"/>
  <c r="Y949" i="1"/>
  <c r="G949" i="1"/>
  <c r="Y948" i="1"/>
  <c r="G948" i="1"/>
  <c r="Y947" i="1"/>
  <c r="G947" i="1"/>
  <c r="Y946" i="1"/>
  <c r="G946" i="1"/>
  <c r="Y945" i="1"/>
  <c r="G945" i="1"/>
  <c r="Y944" i="1"/>
  <c r="G944" i="1"/>
  <c r="Y943" i="1"/>
  <c r="G943" i="1"/>
  <c r="Y942" i="1"/>
  <c r="G942" i="1"/>
  <c r="Y941" i="1"/>
  <c r="G941" i="1"/>
  <c r="Y940" i="1"/>
  <c r="G940" i="1"/>
  <c r="Y939" i="1"/>
  <c r="G939" i="1"/>
  <c r="Y938" i="1"/>
  <c r="G938" i="1"/>
  <c r="Y937" i="1"/>
  <c r="G937" i="1"/>
  <c r="Y936" i="1"/>
  <c r="G936" i="1"/>
  <c r="Y935" i="1"/>
  <c r="G935" i="1"/>
  <c r="Y934" i="1"/>
  <c r="G934" i="1"/>
  <c r="Y933" i="1"/>
  <c r="G933" i="1"/>
  <c r="Y932" i="1"/>
  <c r="G932" i="1"/>
  <c r="Y931" i="1"/>
  <c r="G931" i="1"/>
  <c r="Y930" i="1"/>
  <c r="G930" i="1"/>
  <c r="Y929" i="1"/>
  <c r="G929" i="1"/>
  <c r="Y928" i="1"/>
  <c r="G928" i="1"/>
  <c r="Y927" i="1"/>
  <c r="G927" i="1"/>
  <c r="Y926" i="1"/>
  <c r="G926" i="1"/>
  <c r="Y925" i="1"/>
  <c r="G925" i="1"/>
  <c r="Y924" i="1"/>
  <c r="G924" i="1"/>
  <c r="Y923" i="1"/>
  <c r="G923" i="1"/>
  <c r="Y922" i="1"/>
  <c r="G922" i="1"/>
  <c r="Y921" i="1"/>
  <c r="G921" i="1"/>
  <c r="Y920" i="1"/>
  <c r="G920" i="1"/>
  <c r="Y919" i="1"/>
  <c r="G919" i="1"/>
  <c r="Y918" i="1"/>
  <c r="G918" i="1"/>
  <c r="Y917" i="1"/>
  <c r="G917" i="1"/>
  <c r="Y916" i="1"/>
  <c r="G916" i="1"/>
  <c r="Y915" i="1"/>
  <c r="G915" i="1"/>
  <c r="Y914" i="1"/>
  <c r="G914" i="1"/>
  <c r="Y913" i="1"/>
  <c r="G913" i="1"/>
  <c r="Y912" i="1"/>
  <c r="G912" i="1"/>
  <c r="Y911" i="1"/>
  <c r="G911" i="1"/>
  <c r="Y910" i="1"/>
  <c r="G910" i="1"/>
  <c r="Y909" i="1"/>
  <c r="G909" i="1"/>
  <c r="Y908" i="1"/>
  <c r="G908" i="1"/>
  <c r="Y907" i="1"/>
  <c r="G907" i="1"/>
  <c r="Y906" i="1"/>
  <c r="G906" i="1"/>
  <c r="Y905" i="1"/>
  <c r="G905" i="1"/>
  <c r="Y904" i="1"/>
  <c r="G904" i="1"/>
  <c r="Y903" i="1"/>
  <c r="G903" i="1"/>
  <c r="Y902" i="1"/>
  <c r="G902" i="1"/>
  <c r="Y901" i="1"/>
  <c r="G901" i="1"/>
  <c r="Y900" i="1"/>
  <c r="G900" i="1"/>
  <c r="Y899" i="1"/>
  <c r="G899" i="1"/>
  <c r="Y898" i="1"/>
  <c r="G898" i="1"/>
  <c r="Y897" i="1"/>
  <c r="G897" i="1"/>
  <c r="Y896" i="1"/>
  <c r="G896" i="1"/>
  <c r="Y895" i="1"/>
  <c r="G895" i="1"/>
  <c r="Y894" i="1"/>
  <c r="G894" i="1"/>
  <c r="Y893" i="1"/>
  <c r="G893" i="1"/>
  <c r="Y892" i="1"/>
  <c r="G892" i="1"/>
  <c r="Y891" i="1"/>
  <c r="G891" i="1"/>
  <c r="Y890" i="1"/>
  <c r="G890" i="1"/>
  <c r="Y889" i="1"/>
  <c r="G889" i="1"/>
  <c r="Y888" i="1"/>
  <c r="G888" i="1"/>
  <c r="Y887" i="1"/>
  <c r="G887" i="1"/>
  <c r="Y886" i="1"/>
  <c r="G886" i="1"/>
  <c r="Y885" i="1"/>
  <c r="G885" i="1"/>
  <c r="Y884" i="1"/>
  <c r="G884" i="1"/>
  <c r="Y883" i="1"/>
  <c r="G883" i="1"/>
  <c r="Y882" i="1"/>
  <c r="G882" i="1"/>
  <c r="Y881" i="1"/>
  <c r="G881" i="1"/>
  <c r="Y880" i="1"/>
  <c r="G880" i="1"/>
  <c r="Y879" i="1"/>
  <c r="G879" i="1"/>
  <c r="Y878" i="1"/>
  <c r="G878" i="1"/>
  <c r="Y877" i="1"/>
  <c r="G877" i="1"/>
  <c r="Y876" i="1"/>
  <c r="G876" i="1"/>
  <c r="Y875" i="1"/>
  <c r="G875" i="1"/>
  <c r="Y874" i="1"/>
  <c r="G874" i="1"/>
  <c r="Y873" i="1"/>
  <c r="G873" i="1"/>
  <c r="Y872" i="1"/>
  <c r="G872" i="1"/>
  <c r="Y871" i="1"/>
  <c r="G871" i="1"/>
  <c r="Y870" i="1"/>
  <c r="G870" i="1"/>
  <c r="Y869" i="1"/>
  <c r="G869" i="1"/>
  <c r="Y868" i="1"/>
  <c r="G868" i="1"/>
  <c r="Y867" i="1"/>
  <c r="G867" i="1"/>
  <c r="Y866" i="1"/>
  <c r="G866" i="1"/>
  <c r="Y865" i="1"/>
  <c r="G865" i="1"/>
  <c r="Y864" i="1"/>
  <c r="G864" i="1"/>
  <c r="Y863" i="1"/>
  <c r="G863" i="1"/>
  <c r="Y862" i="1"/>
  <c r="G862" i="1"/>
  <c r="Y861" i="1"/>
  <c r="G861" i="1"/>
  <c r="Y860" i="1"/>
  <c r="G860" i="1"/>
  <c r="Y859" i="1"/>
  <c r="G859" i="1"/>
  <c r="Y858" i="1"/>
  <c r="G858" i="1"/>
  <c r="Y857" i="1"/>
  <c r="G857" i="1"/>
  <c r="Y856" i="1"/>
  <c r="G856" i="1"/>
  <c r="Y855" i="1"/>
  <c r="G855" i="1"/>
  <c r="Y854" i="1"/>
  <c r="G854" i="1"/>
  <c r="Y853" i="1"/>
  <c r="G853" i="1"/>
  <c r="Y852" i="1"/>
  <c r="G852" i="1"/>
  <c r="Y851" i="1"/>
  <c r="G851" i="1"/>
  <c r="Y850" i="1"/>
  <c r="G850" i="1"/>
  <c r="Y849" i="1"/>
  <c r="G849" i="1"/>
  <c r="Y848" i="1"/>
  <c r="G848" i="1"/>
  <c r="Y847" i="1"/>
  <c r="G847" i="1"/>
  <c r="Y846" i="1"/>
  <c r="G846" i="1"/>
  <c r="Y845" i="1"/>
  <c r="G845" i="1"/>
  <c r="Y844" i="1"/>
  <c r="G844" i="1"/>
  <c r="Y843" i="1"/>
  <c r="G843" i="1"/>
  <c r="Y842" i="1"/>
  <c r="G842" i="1"/>
  <c r="Y841" i="1"/>
  <c r="G841" i="1"/>
  <c r="Y840" i="1"/>
  <c r="G840" i="1"/>
  <c r="Y839" i="1"/>
  <c r="G839" i="1"/>
  <c r="Y838" i="1"/>
  <c r="G838" i="1"/>
  <c r="Y837" i="1"/>
  <c r="G837" i="1"/>
  <c r="Y836" i="1"/>
  <c r="G836" i="1"/>
  <c r="Y835" i="1"/>
  <c r="G835" i="1"/>
  <c r="Y834" i="1"/>
  <c r="G834" i="1"/>
  <c r="Y833" i="1"/>
  <c r="G833" i="1"/>
  <c r="Y832" i="1"/>
  <c r="G832" i="1"/>
  <c r="Y831" i="1"/>
  <c r="G831" i="1"/>
  <c r="Y830" i="1"/>
  <c r="G830" i="1"/>
  <c r="Y829" i="1"/>
  <c r="G829" i="1"/>
  <c r="Y828" i="1"/>
  <c r="G828" i="1"/>
  <c r="Y827" i="1"/>
  <c r="G827" i="1"/>
  <c r="Y826" i="1"/>
  <c r="G826" i="1"/>
  <c r="Y825" i="1"/>
  <c r="G825" i="1"/>
  <c r="Y824" i="1"/>
  <c r="G824" i="1"/>
  <c r="Y823" i="1"/>
  <c r="G823" i="1"/>
  <c r="Y822" i="1"/>
  <c r="G822" i="1"/>
  <c r="Y821" i="1"/>
  <c r="G821" i="1"/>
  <c r="Y820" i="1"/>
  <c r="G820" i="1"/>
  <c r="Y819" i="1"/>
  <c r="G819" i="1"/>
  <c r="Y818" i="1"/>
  <c r="G818" i="1"/>
  <c r="Y817" i="1"/>
  <c r="G817" i="1"/>
  <c r="Y816" i="1"/>
  <c r="G816" i="1"/>
  <c r="Y815" i="1"/>
  <c r="G815" i="1"/>
  <c r="Y814" i="1"/>
  <c r="G814" i="1"/>
  <c r="Y813" i="1"/>
  <c r="G813" i="1"/>
  <c r="Y812" i="1"/>
  <c r="G812" i="1"/>
  <c r="Y811" i="1"/>
  <c r="G811" i="1"/>
  <c r="Y810" i="1"/>
  <c r="G810" i="1"/>
  <c r="Y809" i="1"/>
  <c r="G809" i="1"/>
  <c r="Y808" i="1"/>
  <c r="G808" i="1"/>
  <c r="Y807" i="1"/>
  <c r="G807" i="1"/>
  <c r="Y806" i="1"/>
  <c r="G806" i="1"/>
  <c r="Y805" i="1"/>
  <c r="G805" i="1"/>
  <c r="Y804" i="1"/>
  <c r="G804" i="1"/>
  <c r="Y803" i="1"/>
  <c r="G803" i="1"/>
  <c r="Y802" i="1"/>
  <c r="G802" i="1"/>
  <c r="Y801" i="1"/>
  <c r="G801" i="1"/>
  <c r="Y800" i="1"/>
  <c r="G800" i="1"/>
  <c r="Y799" i="1"/>
  <c r="G799" i="1"/>
  <c r="Y798" i="1"/>
  <c r="G798" i="1"/>
  <c r="Y797" i="1"/>
  <c r="G797" i="1"/>
  <c r="Y796" i="1"/>
  <c r="G796" i="1"/>
  <c r="Y795" i="1"/>
  <c r="G795" i="1"/>
  <c r="Y794" i="1"/>
  <c r="G794" i="1"/>
  <c r="Y793" i="1"/>
  <c r="G793" i="1"/>
  <c r="Y792" i="1"/>
  <c r="G792" i="1"/>
  <c r="Y791" i="1"/>
  <c r="G791" i="1"/>
  <c r="Y790" i="1"/>
  <c r="G790" i="1"/>
  <c r="Y789" i="1"/>
  <c r="G789" i="1"/>
  <c r="Y788" i="1"/>
  <c r="G788" i="1"/>
  <c r="Y787" i="1"/>
  <c r="G787" i="1"/>
  <c r="Y786" i="1"/>
  <c r="G786" i="1"/>
  <c r="Y785" i="1"/>
  <c r="G785" i="1"/>
  <c r="Y784" i="1"/>
  <c r="G784" i="1"/>
  <c r="Y783" i="1"/>
  <c r="G783" i="1"/>
  <c r="Y782" i="1"/>
  <c r="G782" i="1"/>
  <c r="Y781" i="1"/>
  <c r="G781" i="1"/>
  <c r="Y780" i="1"/>
  <c r="G780" i="1"/>
  <c r="Y779" i="1"/>
  <c r="G779" i="1"/>
  <c r="Y778" i="1"/>
  <c r="G778" i="1"/>
  <c r="Y777" i="1"/>
  <c r="G777" i="1"/>
  <c r="Y776" i="1"/>
  <c r="G776" i="1"/>
  <c r="Y775" i="1"/>
  <c r="G775" i="1"/>
  <c r="Y774" i="1"/>
  <c r="G774" i="1"/>
  <c r="Y773" i="1"/>
  <c r="G773" i="1"/>
  <c r="Y772" i="1"/>
  <c r="G772" i="1"/>
  <c r="Y771" i="1"/>
  <c r="G771" i="1"/>
  <c r="Y770" i="1"/>
  <c r="G770" i="1"/>
  <c r="Y769" i="1"/>
  <c r="G769" i="1"/>
  <c r="Y768" i="1"/>
  <c r="G768" i="1"/>
  <c r="Y767" i="1"/>
  <c r="G767" i="1"/>
  <c r="Y766" i="1"/>
  <c r="G766" i="1"/>
  <c r="Y765" i="1"/>
  <c r="G765" i="1"/>
  <c r="Y764" i="1"/>
  <c r="G764" i="1"/>
  <c r="Y763" i="1"/>
  <c r="G763" i="1"/>
  <c r="Y762" i="1"/>
  <c r="G762" i="1"/>
  <c r="Y761" i="1"/>
  <c r="G761" i="1"/>
  <c r="Y760" i="1"/>
  <c r="G760" i="1"/>
  <c r="Y759" i="1"/>
  <c r="G759" i="1"/>
  <c r="Y758" i="1"/>
  <c r="G758" i="1"/>
  <c r="Y757" i="1"/>
  <c r="G757" i="1"/>
  <c r="Y756" i="1"/>
  <c r="G756" i="1"/>
  <c r="Y755" i="1"/>
  <c r="G755" i="1"/>
  <c r="Y754" i="1"/>
  <c r="G754" i="1"/>
  <c r="Y753" i="1"/>
  <c r="G753" i="1"/>
  <c r="Y752" i="1"/>
  <c r="G752" i="1"/>
  <c r="Y751" i="1"/>
  <c r="G751" i="1"/>
  <c r="Y750" i="1"/>
  <c r="G750" i="1"/>
  <c r="Y749" i="1"/>
  <c r="G749" i="1"/>
  <c r="Y748" i="1"/>
  <c r="G748" i="1"/>
  <c r="Y747" i="1"/>
  <c r="G747" i="1"/>
  <c r="Y746" i="1"/>
  <c r="G746" i="1"/>
  <c r="Y745" i="1"/>
  <c r="G745" i="1"/>
  <c r="Y744" i="1"/>
  <c r="G744" i="1"/>
  <c r="Y743" i="1"/>
  <c r="G743" i="1"/>
  <c r="Y742" i="1"/>
  <c r="G742" i="1"/>
  <c r="Y741" i="1"/>
  <c r="G741" i="1"/>
  <c r="Y740" i="1"/>
  <c r="G740" i="1"/>
  <c r="Y739" i="1"/>
  <c r="G739" i="1"/>
  <c r="Y738" i="1"/>
  <c r="G738" i="1"/>
  <c r="Y737" i="1"/>
  <c r="G737" i="1"/>
  <c r="Y736" i="1"/>
  <c r="G736" i="1"/>
  <c r="Y735" i="1"/>
  <c r="G735" i="1"/>
  <c r="Y734" i="1"/>
  <c r="G734" i="1"/>
  <c r="Y733" i="1"/>
  <c r="G733" i="1"/>
  <c r="Y732" i="1"/>
  <c r="G732" i="1"/>
  <c r="Y731" i="1"/>
  <c r="G731" i="1"/>
  <c r="Y730" i="1"/>
  <c r="G730" i="1"/>
  <c r="Y729" i="1"/>
  <c r="G729" i="1"/>
  <c r="Y728" i="1"/>
  <c r="G728" i="1"/>
  <c r="Y727" i="1"/>
  <c r="G727" i="1"/>
  <c r="Y726" i="1"/>
  <c r="G726" i="1"/>
  <c r="Y725" i="1"/>
  <c r="G725" i="1"/>
  <c r="Y724" i="1"/>
  <c r="G724" i="1"/>
  <c r="Y723" i="1"/>
  <c r="G723" i="1"/>
  <c r="Y722" i="1"/>
  <c r="G722" i="1"/>
  <c r="Y721" i="1"/>
  <c r="G721" i="1"/>
  <c r="Y720" i="1"/>
  <c r="G720" i="1"/>
  <c r="Y719" i="1"/>
  <c r="G719" i="1"/>
  <c r="Y718" i="1"/>
  <c r="G718" i="1"/>
  <c r="Y717" i="1"/>
  <c r="G717" i="1"/>
  <c r="Y716" i="1"/>
  <c r="G716" i="1"/>
  <c r="Y715" i="1"/>
  <c r="G715" i="1"/>
  <c r="Y714" i="1"/>
  <c r="G714" i="1"/>
  <c r="Y713" i="1"/>
  <c r="G713" i="1"/>
  <c r="Y712" i="1"/>
  <c r="G712" i="1"/>
  <c r="Y711" i="1"/>
  <c r="G711" i="1"/>
  <c r="Y710" i="1"/>
  <c r="G710" i="1"/>
  <c r="Y709" i="1"/>
  <c r="G709" i="1"/>
  <c r="Y708" i="1"/>
  <c r="G708" i="1"/>
  <c r="Y707" i="1"/>
  <c r="G707" i="1"/>
  <c r="Y706" i="1"/>
  <c r="G706" i="1"/>
  <c r="Y705" i="1"/>
  <c r="G705" i="1"/>
  <c r="Y704" i="1"/>
  <c r="G704" i="1"/>
  <c r="Y703" i="1"/>
  <c r="G703" i="1"/>
  <c r="Y702" i="1"/>
  <c r="G702" i="1"/>
  <c r="Y701" i="1"/>
  <c r="G701" i="1"/>
  <c r="Y700" i="1"/>
  <c r="G700" i="1"/>
  <c r="Y699" i="1"/>
  <c r="G699" i="1"/>
  <c r="Y698" i="1"/>
  <c r="G698" i="1"/>
  <c r="Y697" i="1"/>
  <c r="G697" i="1"/>
  <c r="Y696" i="1"/>
  <c r="G696" i="1"/>
  <c r="Y695" i="1"/>
  <c r="G695" i="1"/>
  <c r="Y694" i="1"/>
  <c r="G694" i="1"/>
  <c r="Y693" i="1"/>
  <c r="G693" i="1"/>
  <c r="Y692" i="1"/>
  <c r="G692" i="1"/>
  <c r="Y691" i="1"/>
  <c r="G691" i="1"/>
  <c r="Y690" i="1"/>
  <c r="G690" i="1"/>
  <c r="Y689" i="1"/>
  <c r="G689" i="1"/>
  <c r="Y688" i="1"/>
  <c r="G688" i="1"/>
  <c r="Y687" i="1"/>
  <c r="G687" i="1"/>
  <c r="Y686" i="1"/>
  <c r="G686" i="1"/>
  <c r="Y685" i="1"/>
  <c r="G685" i="1"/>
  <c r="Y684" i="1"/>
  <c r="G684" i="1"/>
  <c r="Y683" i="1"/>
  <c r="G683" i="1"/>
  <c r="Y682" i="1"/>
  <c r="G682" i="1"/>
  <c r="Y681" i="1"/>
  <c r="G681" i="1"/>
  <c r="Y680" i="1"/>
  <c r="G680" i="1"/>
  <c r="Y679" i="1"/>
  <c r="G679" i="1"/>
  <c r="Y678" i="1"/>
  <c r="G678" i="1"/>
  <c r="Y677" i="1"/>
  <c r="G677" i="1"/>
  <c r="Y676" i="1"/>
  <c r="G676" i="1"/>
  <c r="Y675" i="1"/>
  <c r="G675" i="1"/>
  <c r="Y674" i="1"/>
  <c r="G674" i="1"/>
  <c r="Y673" i="1"/>
  <c r="G673" i="1"/>
  <c r="Y672" i="1"/>
  <c r="G672" i="1"/>
  <c r="Y671" i="1"/>
  <c r="G671" i="1"/>
  <c r="Y670" i="1"/>
  <c r="G670" i="1"/>
  <c r="Y669" i="1"/>
  <c r="G669" i="1"/>
  <c r="Y668" i="1"/>
  <c r="G668" i="1"/>
  <c r="Y667" i="1"/>
  <c r="G667" i="1"/>
  <c r="Y666" i="1"/>
  <c r="G666" i="1"/>
  <c r="Y665" i="1"/>
  <c r="G665" i="1"/>
  <c r="Y664" i="1"/>
  <c r="G664" i="1"/>
  <c r="Y663" i="1"/>
  <c r="G663" i="1"/>
  <c r="Y662" i="1"/>
  <c r="G662" i="1"/>
  <c r="Y661" i="1"/>
  <c r="G661" i="1"/>
  <c r="Y660" i="1"/>
  <c r="G660" i="1"/>
  <c r="Y659" i="1"/>
  <c r="G659" i="1"/>
  <c r="Y658" i="1"/>
  <c r="G658" i="1"/>
  <c r="Y657" i="1"/>
  <c r="G657" i="1"/>
  <c r="Y656" i="1"/>
  <c r="G656" i="1"/>
  <c r="Y655" i="1"/>
  <c r="G655" i="1"/>
  <c r="Y654" i="1"/>
  <c r="G654" i="1"/>
  <c r="Y653" i="1"/>
  <c r="G653" i="1"/>
  <c r="Y652" i="1"/>
  <c r="G652" i="1"/>
  <c r="Y651" i="1"/>
  <c r="G651" i="1"/>
  <c r="Y650" i="1"/>
  <c r="G650" i="1"/>
  <c r="Y649" i="1"/>
  <c r="G649" i="1"/>
  <c r="Y648" i="1"/>
  <c r="G648" i="1"/>
  <c r="Y647" i="1"/>
  <c r="G647" i="1"/>
  <c r="Y646" i="1"/>
  <c r="G646" i="1"/>
  <c r="Y645" i="1"/>
  <c r="G645" i="1"/>
  <c r="Y644" i="1"/>
  <c r="G644" i="1"/>
  <c r="Y643" i="1"/>
  <c r="G643" i="1"/>
  <c r="Y642" i="1"/>
  <c r="G642" i="1"/>
  <c r="Y641" i="1"/>
  <c r="G641" i="1"/>
  <c r="Y640" i="1"/>
  <c r="G640" i="1"/>
  <c r="Y639" i="1"/>
  <c r="G639" i="1"/>
  <c r="Y638" i="1"/>
  <c r="G638" i="1"/>
  <c r="Y637" i="1"/>
  <c r="G637" i="1"/>
  <c r="Y636" i="1"/>
  <c r="G636" i="1"/>
  <c r="Y635" i="1"/>
  <c r="G635" i="1"/>
  <c r="Y634" i="1"/>
  <c r="G634" i="1"/>
  <c r="Y633" i="1"/>
  <c r="G633" i="1"/>
  <c r="Y632" i="1"/>
  <c r="G632" i="1"/>
  <c r="Y631" i="1"/>
  <c r="G631" i="1"/>
  <c r="Y630" i="1"/>
  <c r="G630" i="1"/>
  <c r="Y629" i="1"/>
  <c r="G629" i="1"/>
  <c r="Y628" i="1"/>
  <c r="G628" i="1"/>
  <c r="Y627" i="1"/>
  <c r="G627" i="1"/>
  <c r="Y626" i="1"/>
  <c r="G626" i="1"/>
  <c r="Y625" i="1"/>
  <c r="G625" i="1"/>
  <c r="Y624" i="1"/>
  <c r="G624" i="1"/>
  <c r="Y623" i="1"/>
  <c r="G623" i="1"/>
  <c r="Y622" i="1"/>
  <c r="G622" i="1"/>
  <c r="Y621" i="1"/>
  <c r="G621" i="1"/>
  <c r="Y620" i="1"/>
  <c r="G620" i="1"/>
  <c r="Y619" i="1"/>
  <c r="G619" i="1"/>
  <c r="Y618" i="1"/>
  <c r="G618" i="1"/>
  <c r="Y617" i="1"/>
  <c r="G617" i="1"/>
  <c r="Y616" i="1"/>
  <c r="G616" i="1"/>
  <c r="Y615" i="1"/>
  <c r="G615" i="1"/>
  <c r="Y614" i="1"/>
  <c r="G614" i="1"/>
  <c r="Y613" i="1"/>
  <c r="G613" i="1"/>
  <c r="Y612" i="1"/>
  <c r="G612" i="1"/>
  <c r="Y611" i="1"/>
  <c r="G611" i="1"/>
  <c r="Y610" i="1"/>
  <c r="G610" i="1"/>
  <c r="Y609" i="1"/>
  <c r="G609" i="1"/>
  <c r="Y608" i="1"/>
  <c r="G608" i="1"/>
  <c r="Y607" i="1"/>
  <c r="G607" i="1"/>
  <c r="Y606" i="1"/>
  <c r="G606" i="1"/>
  <c r="Y605" i="1"/>
  <c r="G605" i="1"/>
  <c r="Y604" i="1"/>
  <c r="G604" i="1"/>
  <c r="Y603" i="1"/>
  <c r="G603" i="1"/>
  <c r="Y602" i="1"/>
  <c r="G602" i="1"/>
  <c r="Y601" i="1"/>
  <c r="G601" i="1"/>
  <c r="Y600" i="1"/>
  <c r="G600" i="1"/>
  <c r="Y599" i="1"/>
  <c r="G599" i="1"/>
  <c r="Y598" i="1"/>
  <c r="G598" i="1"/>
  <c r="Y597" i="1"/>
  <c r="G597" i="1"/>
  <c r="Y596" i="1"/>
  <c r="G596" i="1"/>
  <c r="Y595" i="1"/>
  <c r="G595" i="1"/>
  <c r="Y594" i="1"/>
  <c r="G594" i="1"/>
  <c r="Y593" i="1"/>
  <c r="G593" i="1"/>
  <c r="Y592" i="1"/>
  <c r="G592" i="1"/>
  <c r="Y591" i="1"/>
  <c r="G591" i="1"/>
  <c r="Y590" i="1"/>
  <c r="G590" i="1"/>
  <c r="Y589" i="1"/>
  <c r="G589" i="1"/>
  <c r="Y588" i="1"/>
  <c r="G588" i="1"/>
  <c r="Y587" i="1"/>
  <c r="G587" i="1"/>
  <c r="Y586" i="1"/>
  <c r="G586" i="1"/>
  <c r="Y585" i="1"/>
  <c r="G585" i="1"/>
  <c r="Y584" i="1"/>
  <c r="G584" i="1"/>
  <c r="Y583" i="1"/>
  <c r="G583" i="1"/>
  <c r="Y582" i="1"/>
  <c r="G582" i="1"/>
  <c r="Y581" i="1"/>
  <c r="G581" i="1"/>
  <c r="Y580" i="1"/>
  <c r="G580" i="1"/>
  <c r="Y579" i="1"/>
  <c r="G579" i="1"/>
  <c r="Y578" i="1"/>
  <c r="G578" i="1"/>
  <c r="Y577" i="1"/>
  <c r="G577" i="1"/>
  <c r="Y576" i="1"/>
  <c r="G576" i="1"/>
  <c r="Y575" i="1"/>
  <c r="G575" i="1"/>
  <c r="Y574" i="1"/>
  <c r="G574" i="1"/>
  <c r="Y573" i="1"/>
  <c r="G573" i="1"/>
  <c r="Y572" i="1"/>
  <c r="G572" i="1"/>
  <c r="Y571" i="1"/>
  <c r="G571" i="1"/>
  <c r="Y570" i="1"/>
  <c r="G570" i="1"/>
  <c r="Y569" i="1"/>
  <c r="G569" i="1"/>
  <c r="Y568" i="1"/>
  <c r="G568" i="1"/>
  <c r="Y567" i="1"/>
  <c r="G567" i="1"/>
  <c r="Y566" i="1"/>
  <c r="G566" i="1"/>
  <c r="Y565" i="1"/>
  <c r="G565" i="1"/>
  <c r="Y564" i="1"/>
  <c r="G564" i="1"/>
  <c r="Y563" i="1"/>
  <c r="G563" i="1"/>
  <c r="Y562" i="1"/>
  <c r="G562" i="1"/>
  <c r="Y561" i="1"/>
  <c r="G561" i="1"/>
  <c r="Y560" i="1"/>
  <c r="G560" i="1"/>
  <c r="Y559" i="1"/>
  <c r="G559" i="1"/>
  <c r="Y558" i="1"/>
  <c r="G558" i="1"/>
  <c r="Y557" i="1"/>
  <c r="G557" i="1"/>
  <c r="Y556" i="1"/>
  <c r="G556" i="1"/>
  <c r="Y555" i="1"/>
  <c r="G555" i="1"/>
  <c r="Y554" i="1"/>
  <c r="G554" i="1"/>
  <c r="Y553" i="1"/>
  <c r="G553" i="1"/>
  <c r="Y552" i="1"/>
  <c r="G552" i="1"/>
  <c r="Y551" i="1"/>
  <c r="G551" i="1"/>
  <c r="Y550" i="1"/>
  <c r="G550" i="1"/>
  <c r="Y549" i="1"/>
  <c r="G549" i="1"/>
  <c r="Y548" i="1"/>
  <c r="G548" i="1"/>
  <c r="Y547" i="1"/>
  <c r="G547" i="1"/>
  <c r="Y546" i="1"/>
  <c r="G546" i="1"/>
  <c r="Y545" i="1"/>
  <c r="G545" i="1"/>
  <c r="Y544" i="1"/>
  <c r="G544" i="1"/>
  <c r="Y543" i="1"/>
  <c r="G543" i="1"/>
  <c r="Y542" i="1"/>
  <c r="G542" i="1"/>
  <c r="Y541" i="1"/>
  <c r="G541" i="1"/>
  <c r="Y540" i="1"/>
  <c r="G540" i="1"/>
  <c r="Y539" i="1"/>
  <c r="G539" i="1"/>
  <c r="Y538" i="1"/>
  <c r="G538" i="1"/>
  <c r="Y537" i="1"/>
  <c r="G537" i="1"/>
  <c r="Y536" i="1"/>
  <c r="G536" i="1"/>
  <c r="Y535" i="1"/>
  <c r="G535" i="1"/>
  <c r="Y534" i="1"/>
  <c r="G534" i="1"/>
  <c r="Y533" i="1"/>
  <c r="G533" i="1"/>
  <c r="Y532" i="1"/>
  <c r="G532" i="1"/>
  <c r="Y531" i="1"/>
  <c r="G531" i="1"/>
  <c r="Y530" i="1"/>
  <c r="G530" i="1"/>
  <c r="Y529" i="1"/>
  <c r="G529" i="1"/>
  <c r="Y528" i="1"/>
  <c r="G528" i="1"/>
  <c r="Y527" i="1"/>
  <c r="G527" i="1"/>
  <c r="Y526" i="1"/>
  <c r="G526" i="1"/>
  <c r="Y525" i="1"/>
  <c r="G525" i="1"/>
  <c r="Y524" i="1"/>
  <c r="G524" i="1"/>
  <c r="Y523" i="1"/>
  <c r="G523" i="1"/>
  <c r="Y522" i="1"/>
  <c r="G522" i="1"/>
  <c r="Y521" i="1"/>
  <c r="G521" i="1"/>
  <c r="Y520" i="1"/>
  <c r="G520" i="1"/>
  <c r="Y519" i="1"/>
  <c r="G519" i="1"/>
  <c r="Y518" i="1"/>
  <c r="G518" i="1"/>
  <c r="Y517" i="1"/>
  <c r="G517" i="1"/>
  <c r="Y516" i="1"/>
  <c r="G516" i="1"/>
  <c r="Y515" i="1"/>
  <c r="G515" i="1"/>
  <c r="Y514" i="1"/>
  <c r="G514" i="1"/>
  <c r="Y513" i="1"/>
  <c r="G513" i="1"/>
  <c r="Y512" i="1"/>
  <c r="G512" i="1"/>
  <c r="Y511" i="1"/>
  <c r="G511" i="1"/>
  <c r="Y510" i="1"/>
  <c r="G510" i="1"/>
  <c r="Y509" i="1"/>
  <c r="G509" i="1"/>
  <c r="Y508" i="1"/>
  <c r="G508" i="1"/>
  <c r="Y507" i="1"/>
  <c r="G507" i="1"/>
  <c r="Y506" i="1"/>
  <c r="G506" i="1"/>
  <c r="Y505" i="1"/>
  <c r="G505" i="1"/>
  <c r="Y504" i="1"/>
  <c r="G504" i="1"/>
  <c r="Y503" i="1"/>
  <c r="G503" i="1"/>
  <c r="Y502" i="1"/>
  <c r="G502" i="1"/>
  <c r="Y501" i="1"/>
  <c r="G501" i="1"/>
  <c r="Y500" i="1"/>
  <c r="G500" i="1"/>
  <c r="Y499" i="1"/>
  <c r="G499" i="1"/>
  <c r="Y498" i="1"/>
  <c r="G498" i="1"/>
  <c r="Y497" i="1"/>
  <c r="G497" i="1"/>
  <c r="Y496" i="1"/>
  <c r="G496" i="1"/>
  <c r="Y495" i="1"/>
  <c r="G495" i="1"/>
  <c r="Y494" i="1"/>
  <c r="G494" i="1"/>
  <c r="Y493" i="1"/>
  <c r="G493" i="1"/>
  <c r="Y492" i="1"/>
  <c r="G492" i="1"/>
  <c r="Y491" i="1"/>
  <c r="G491" i="1"/>
  <c r="Y490" i="1"/>
  <c r="G490" i="1"/>
  <c r="Y489" i="1"/>
  <c r="G489" i="1"/>
  <c r="Y488" i="1"/>
  <c r="G488" i="1"/>
  <c r="Y487" i="1"/>
  <c r="G487" i="1"/>
  <c r="Y486" i="1"/>
  <c r="G486" i="1"/>
  <c r="Y485" i="1"/>
  <c r="G485" i="1"/>
  <c r="Y484" i="1"/>
  <c r="G484" i="1"/>
  <c r="Y483" i="1"/>
  <c r="G483" i="1"/>
  <c r="Y482" i="1"/>
  <c r="G482" i="1"/>
  <c r="Y481" i="1"/>
  <c r="G481" i="1"/>
  <c r="Y480" i="1"/>
  <c r="G480" i="1"/>
  <c r="Y479" i="1"/>
  <c r="G479" i="1"/>
  <c r="Y478" i="1"/>
  <c r="G478" i="1"/>
  <c r="Y477" i="1"/>
  <c r="G477" i="1"/>
  <c r="Y476" i="1"/>
  <c r="G476" i="1"/>
  <c r="Y475" i="1"/>
  <c r="G475" i="1"/>
  <c r="Y474" i="1"/>
  <c r="G474" i="1"/>
  <c r="Y473" i="1"/>
  <c r="G473" i="1"/>
  <c r="Y472" i="1"/>
  <c r="G472" i="1"/>
  <c r="Y471" i="1"/>
  <c r="G471" i="1"/>
  <c r="Y470" i="1"/>
  <c r="G470" i="1"/>
  <c r="Y469" i="1"/>
  <c r="G469" i="1"/>
  <c r="Y468" i="1"/>
  <c r="G468" i="1"/>
  <c r="Y467" i="1"/>
  <c r="G467" i="1"/>
  <c r="Y466" i="1"/>
  <c r="G466" i="1"/>
  <c r="Y465" i="1"/>
  <c r="G465" i="1"/>
  <c r="Y464" i="1"/>
  <c r="G464" i="1"/>
  <c r="Y463" i="1"/>
  <c r="G463" i="1"/>
  <c r="Y462" i="1"/>
  <c r="G462" i="1"/>
  <c r="Y461" i="1"/>
  <c r="G461" i="1"/>
  <c r="Y460" i="1"/>
  <c r="G460" i="1"/>
  <c r="Y459" i="1"/>
  <c r="G459" i="1"/>
  <c r="Y458" i="1"/>
  <c r="G458" i="1"/>
  <c r="Y457" i="1"/>
  <c r="G457" i="1"/>
  <c r="Y456" i="1"/>
  <c r="G456" i="1"/>
  <c r="Y455" i="1"/>
  <c r="G455" i="1"/>
  <c r="Y454" i="1"/>
  <c r="G454" i="1"/>
  <c r="Y453" i="1"/>
  <c r="G453" i="1"/>
  <c r="Y452" i="1"/>
  <c r="G452" i="1"/>
  <c r="Y451" i="1"/>
  <c r="G451" i="1"/>
  <c r="Y450" i="1"/>
  <c r="G450" i="1"/>
  <c r="Y449" i="1"/>
  <c r="G449" i="1"/>
  <c r="Y448" i="1"/>
  <c r="G448" i="1"/>
  <c r="Y447" i="1"/>
  <c r="G447" i="1"/>
  <c r="Y446" i="1"/>
  <c r="G446" i="1"/>
  <c r="Y445" i="1"/>
  <c r="G445" i="1"/>
  <c r="Y444" i="1"/>
  <c r="G444" i="1"/>
  <c r="Y443" i="1"/>
  <c r="G443" i="1"/>
  <c r="Y442" i="1"/>
  <c r="G442" i="1"/>
  <c r="Y441" i="1"/>
  <c r="G441" i="1"/>
  <c r="Y440" i="1"/>
  <c r="G440" i="1"/>
  <c r="Y439" i="1"/>
  <c r="G439" i="1"/>
  <c r="Y438" i="1"/>
  <c r="G438" i="1"/>
  <c r="Y437" i="1"/>
  <c r="G437" i="1"/>
  <c r="Y436" i="1"/>
  <c r="G436" i="1"/>
  <c r="Y435" i="1"/>
  <c r="G435" i="1"/>
  <c r="Y434" i="1"/>
  <c r="G434" i="1"/>
  <c r="Y433" i="1"/>
  <c r="G433" i="1"/>
  <c r="Y432" i="1"/>
  <c r="G432" i="1"/>
  <c r="Y431" i="1"/>
  <c r="G431" i="1"/>
  <c r="Y430" i="1"/>
  <c r="G430" i="1"/>
  <c r="Y429" i="1"/>
  <c r="G429" i="1"/>
  <c r="Y428" i="1"/>
  <c r="G428" i="1"/>
  <c r="Y427" i="1"/>
  <c r="G427" i="1"/>
  <c r="Y426" i="1"/>
  <c r="G426" i="1"/>
  <c r="Y425" i="1"/>
  <c r="G425" i="1"/>
  <c r="Y424" i="1"/>
  <c r="G424" i="1"/>
  <c r="Y423" i="1"/>
  <c r="G423" i="1"/>
  <c r="Y422" i="1"/>
  <c r="G422" i="1"/>
  <c r="Y421" i="1"/>
  <c r="G421" i="1"/>
  <c r="Y420" i="1"/>
  <c r="G420" i="1"/>
  <c r="Y419" i="1"/>
  <c r="G419" i="1"/>
  <c r="Y418" i="1"/>
  <c r="G418" i="1"/>
  <c r="Y417" i="1"/>
  <c r="G417" i="1"/>
  <c r="Y416" i="1"/>
  <c r="G416" i="1"/>
  <c r="Y415" i="1"/>
  <c r="G415" i="1"/>
  <c r="Y414" i="1"/>
  <c r="G414" i="1"/>
  <c r="Y413" i="1"/>
  <c r="G413" i="1"/>
  <c r="Y412" i="1"/>
  <c r="G412" i="1"/>
  <c r="Y411" i="1"/>
  <c r="G411" i="1"/>
  <c r="Y410" i="1"/>
  <c r="G410" i="1"/>
  <c r="Y409" i="1"/>
  <c r="G409" i="1"/>
  <c r="Y408" i="1"/>
  <c r="G408" i="1"/>
  <c r="Y407" i="1"/>
  <c r="G407" i="1"/>
  <c r="Y406" i="1"/>
  <c r="G406" i="1"/>
  <c r="Y405" i="1"/>
  <c r="G405" i="1"/>
  <c r="Y404" i="1"/>
  <c r="G404" i="1"/>
  <c r="Y403" i="1"/>
  <c r="G403" i="1"/>
  <c r="Y402" i="1"/>
  <c r="G402" i="1"/>
  <c r="Y401" i="1"/>
  <c r="G401" i="1"/>
  <c r="Y400" i="1"/>
  <c r="G400" i="1"/>
  <c r="Y399" i="1"/>
  <c r="G399" i="1"/>
  <c r="Y398" i="1"/>
  <c r="G398" i="1"/>
  <c r="Y397" i="1"/>
  <c r="G397" i="1"/>
  <c r="Y396" i="1"/>
  <c r="G396" i="1"/>
  <c r="Y395" i="1"/>
  <c r="G395" i="1"/>
  <c r="Y394" i="1"/>
  <c r="G394" i="1"/>
  <c r="Y393" i="1"/>
  <c r="G393" i="1"/>
  <c r="Y392" i="1"/>
  <c r="G392" i="1"/>
  <c r="Y391" i="1"/>
  <c r="G391" i="1"/>
  <c r="Y390" i="1"/>
  <c r="G390" i="1"/>
  <c r="Y389" i="1"/>
  <c r="G389" i="1"/>
  <c r="Y388" i="1"/>
  <c r="G388" i="1"/>
  <c r="Y387" i="1"/>
  <c r="G387" i="1"/>
  <c r="Y386" i="1"/>
  <c r="G386" i="1"/>
  <c r="Y385" i="1"/>
  <c r="G385" i="1"/>
  <c r="Y384" i="1"/>
  <c r="G384" i="1"/>
  <c r="Y383" i="1"/>
  <c r="G383" i="1"/>
  <c r="Y382" i="1"/>
  <c r="G382" i="1"/>
  <c r="Y381" i="1"/>
  <c r="G381" i="1"/>
  <c r="Y380" i="1"/>
  <c r="G380" i="1"/>
  <c r="Y379" i="1"/>
  <c r="G379" i="1"/>
  <c r="Y378" i="1"/>
  <c r="G378" i="1"/>
  <c r="Y377" i="1"/>
  <c r="G377" i="1"/>
  <c r="Y376" i="1"/>
  <c r="G376" i="1"/>
  <c r="Y375" i="1"/>
  <c r="G375" i="1"/>
  <c r="Y374" i="1"/>
  <c r="G374" i="1"/>
  <c r="Y373" i="1"/>
  <c r="G373" i="1"/>
  <c r="Y372" i="1"/>
  <c r="G372" i="1"/>
  <c r="Y371" i="1"/>
  <c r="G371" i="1"/>
  <c r="Y370" i="1"/>
  <c r="G370" i="1"/>
  <c r="Y369" i="1"/>
  <c r="G369" i="1"/>
  <c r="Y368" i="1"/>
  <c r="G368" i="1"/>
  <c r="Y367" i="1"/>
  <c r="G367" i="1"/>
  <c r="Y366" i="1"/>
  <c r="G366" i="1"/>
  <c r="Y365" i="1"/>
  <c r="G365" i="1"/>
  <c r="Y364" i="1"/>
  <c r="G364" i="1"/>
  <c r="Y363" i="1"/>
  <c r="G363" i="1"/>
  <c r="Y362" i="1"/>
  <c r="G362" i="1"/>
  <c r="Y361" i="1"/>
  <c r="G361" i="1"/>
  <c r="Y360" i="1"/>
  <c r="G360" i="1"/>
  <c r="Y359" i="1"/>
  <c r="G359" i="1"/>
  <c r="Y358" i="1"/>
  <c r="G358" i="1"/>
  <c r="Y357" i="1"/>
  <c r="G357" i="1"/>
  <c r="Y356" i="1"/>
  <c r="G356" i="1"/>
  <c r="Y355" i="1"/>
  <c r="G355" i="1"/>
  <c r="Y354" i="1"/>
  <c r="G354" i="1"/>
  <c r="Y353" i="1"/>
  <c r="G353" i="1"/>
  <c r="Y352" i="1"/>
  <c r="G352" i="1"/>
  <c r="Y351" i="1"/>
  <c r="G351" i="1"/>
  <c r="Y350" i="1"/>
  <c r="G350" i="1"/>
  <c r="Y349" i="1"/>
  <c r="G349" i="1"/>
  <c r="Y348" i="1"/>
  <c r="G348" i="1"/>
  <c r="Y347" i="1"/>
  <c r="G347" i="1"/>
  <c r="Y346" i="1"/>
  <c r="G346" i="1"/>
  <c r="Y345" i="1"/>
  <c r="G345" i="1"/>
  <c r="Y344" i="1"/>
  <c r="G344" i="1"/>
  <c r="Y343" i="1"/>
  <c r="G343" i="1"/>
  <c r="Y342" i="1"/>
  <c r="G342" i="1"/>
  <c r="Y341" i="1"/>
  <c r="G341" i="1"/>
  <c r="Y340" i="1"/>
  <c r="G340" i="1"/>
  <c r="Y339" i="1"/>
  <c r="G339" i="1"/>
  <c r="Y338" i="1"/>
  <c r="G338" i="1"/>
  <c r="Y337" i="1"/>
  <c r="G337" i="1"/>
  <c r="Y336" i="1"/>
  <c r="G336" i="1"/>
  <c r="Y335" i="1"/>
  <c r="G335" i="1"/>
  <c r="Y334" i="1"/>
  <c r="G334" i="1"/>
  <c r="Y333" i="1"/>
  <c r="G333" i="1"/>
  <c r="Y332" i="1"/>
  <c r="G332" i="1"/>
  <c r="Y331" i="1"/>
  <c r="G331" i="1"/>
  <c r="Y330" i="1"/>
  <c r="G330" i="1"/>
  <c r="Y329" i="1"/>
  <c r="G329" i="1"/>
  <c r="Y328" i="1"/>
  <c r="G328" i="1"/>
  <c r="Y327" i="1"/>
  <c r="G327" i="1"/>
  <c r="Y326" i="1"/>
  <c r="G326" i="1"/>
  <c r="Y325" i="1"/>
  <c r="G325" i="1"/>
  <c r="Y324" i="1"/>
  <c r="G324" i="1"/>
  <c r="Y323" i="1"/>
  <c r="G323" i="1"/>
  <c r="Y322" i="1"/>
  <c r="G322" i="1"/>
  <c r="Y321" i="1"/>
  <c r="G321" i="1"/>
  <c r="Y320" i="1"/>
  <c r="G320" i="1"/>
  <c r="Y319" i="1"/>
  <c r="G319" i="1"/>
  <c r="Y318" i="1"/>
  <c r="G318" i="1"/>
  <c r="Y317" i="1"/>
  <c r="G317" i="1"/>
  <c r="Y316" i="1"/>
  <c r="G316" i="1"/>
  <c r="Y315" i="1"/>
  <c r="G315" i="1"/>
  <c r="Y314" i="1"/>
  <c r="G314" i="1"/>
  <c r="Y313" i="1"/>
  <c r="G313" i="1"/>
  <c r="Y312" i="1"/>
  <c r="G312" i="1"/>
  <c r="Y311" i="1"/>
  <c r="G311" i="1"/>
  <c r="Y310" i="1"/>
  <c r="G310" i="1"/>
  <c r="Y309" i="1"/>
  <c r="G309" i="1"/>
  <c r="Y308" i="1"/>
  <c r="G308" i="1"/>
  <c r="Y307" i="1"/>
  <c r="G307" i="1"/>
  <c r="Y306" i="1"/>
  <c r="G306" i="1"/>
  <c r="Y305" i="1"/>
  <c r="G305" i="1"/>
  <c r="Y304" i="1"/>
  <c r="G304" i="1"/>
  <c r="Y303" i="1"/>
  <c r="G303" i="1"/>
  <c r="Y302" i="1"/>
  <c r="G302" i="1"/>
  <c r="Y301" i="1"/>
  <c r="G301" i="1"/>
  <c r="Y300" i="1"/>
  <c r="G300" i="1"/>
  <c r="Y299" i="1"/>
  <c r="G299" i="1"/>
  <c r="Y298" i="1"/>
  <c r="G298" i="1"/>
  <c r="Y297" i="1"/>
  <c r="G297" i="1"/>
  <c r="Y296" i="1"/>
  <c r="G296" i="1"/>
  <c r="Y295" i="1"/>
  <c r="G295" i="1"/>
  <c r="Y294" i="1"/>
  <c r="G294" i="1"/>
  <c r="Y293" i="1"/>
  <c r="G293" i="1"/>
  <c r="Y292" i="1"/>
  <c r="G292" i="1"/>
  <c r="Y291" i="1"/>
  <c r="G291" i="1"/>
  <c r="Y290" i="1"/>
  <c r="G290" i="1"/>
  <c r="Y289" i="1"/>
  <c r="G289" i="1"/>
  <c r="Y288" i="1"/>
  <c r="G288" i="1"/>
  <c r="Y287" i="1"/>
  <c r="G287" i="1"/>
  <c r="Y286" i="1"/>
  <c r="G286" i="1"/>
  <c r="Y285" i="1"/>
  <c r="G285" i="1"/>
  <c r="Y284" i="1"/>
  <c r="G284" i="1"/>
  <c r="Y283" i="1"/>
  <c r="G283" i="1"/>
  <c r="Y282" i="1"/>
  <c r="G282" i="1"/>
  <c r="Y281" i="1"/>
  <c r="G281" i="1"/>
  <c r="Y280" i="1"/>
  <c r="G280" i="1"/>
  <c r="Y279" i="1"/>
  <c r="G279" i="1"/>
  <c r="Y278" i="1"/>
  <c r="G278" i="1"/>
  <c r="Y277" i="1"/>
  <c r="G277" i="1"/>
  <c r="Y276" i="1"/>
  <c r="G276" i="1"/>
  <c r="Y275" i="1"/>
  <c r="G275" i="1"/>
  <c r="Y274" i="1"/>
  <c r="G274" i="1"/>
  <c r="Y273" i="1"/>
  <c r="G273" i="1"/>
  <c r="Y272" i="1"/>
  <c r="G272" i="1"/>
  <c r="Y271" i="1"/>
  <c r="G271" i="1"/>
  <c r="Y270" i="1"/>
  <c r="G270" i="1"/>
  <c r="Y269" i="1"/>
  <c r="G269" i="1"/>
  <c r="Y268" i="1"/>
  <c r="G268" i="1"/>
  <c r="Y267" i="1"/>
  <c r="G267" i="1"/>
  <c r="Y266" i="1"/>
  <c r="G266" i="1"/>
  <c r="Y265" i="1"/>
  <c r="G265" i="1"/>
  <c r="Y264" i="1"/>
  <c r="G264" i="1"/>
  <c r="Y263" i="1"/>
  <c r="G263" i="1"/>
  <c r="Y262" i="1"/>
  <c r="G262" i="1"/>
  <c r="Y261" i="1"/>
  <c r="G261" i="1"/>
  <c r="Y260" i="1"/>
  <c r="G260" i="1"/>
  <c r="Y259" i="1"/>
  <c r="G259" i="1"/>
  <c r="Y258" i="1"/>
  <c r="G258" i="1"/>
  <c r="Y257" i="1"/>
  <c r="G257" i="1"/>
  <c r="Y256" i="1"/>
  <c r="G256" i="1"/>
  <c r="Y255" i="1"/>
  <c r="G255" i="1"/>
  <c r="Y254" i="1"/>
  <c r="G254" i="1"/>
  <c r="Y253" i="1"/>
  <c r="G253" i="1"/>
  <c r="Y252" i="1"/>
  <c r="G252" i="1"/>
  <c r="Y251" i="1"/>
  <c r="G251" i="1"/>
  <c r="Y250" i="1"/>
  <c r="G250" i="1"/>
  <c r="Y249" i="1"/>
  <c r="G249" i="1"/>
  <c r="Y248" i="1"/>
  <c r="G248" i="1"/>
  <c r="Y247" i="1"/>
  <c r="G247" i="1"/>
  <c r="Y246" i="1"/>
  <c r="G246" i="1"/>
  <c r="Y245" i="1"/>
  <c r="G245" i="1"/>
  <c r="Y244" i="1"/>
  <c r="G244" i="1"/>
  <c r="Y243" i="1"/>
  <c r="G243" i="1"/>
  <c r="Y242" i="1"/>
  <c r="G242" i="1"/>
  <c r="Y241" i="1"/>
  <c r="G241" i="1"/>
  <c r="Y240" i="1"/>
  <c r="G240" i="1"/>
  <c r="Y239" i="1"/>
  <c r="G239" i="1"/>
  <c r="Y238" i="1"/>
  <c r="G238" i="1"/>
  <c r="Y237" i="1"/>
  <c r="G237" i="1"/>
  <c r="Y236" i="1"/>
  <c r="G236" i="1"/>
  <c r="Y235" i="1"/>
  <c r="G235" i="1"/>
  <c r="Y234" i="1"/>
  <c r="G234" i="1"/>
  <c r="Y233" i="1"/>
  <c r="G233" i="1"/>
  <c r="Y232" i="1"/>
  <c r="G232" i="1"/>
  <c r="Y231" i="1"/>
  <c r="G231" i="1"/>
  <c r="Y230" i="1"/>
  <c r="G230" i="1"/>
  <c r="Y229" i="1"/>
  <c r="G229" i="1"/>
  <c r="Y228" i="1"/>
  <c r="G228" i="1"/>
  <c r="Y227" i="1"/>
  <c r="G227" i="1"/>
  <c r="Y226" i="1"/>
  <c r="G226" i="1"/>
  <c r="Y225" i="1"/>
  <c r="G225" i="1"/>
  <c r="Y224" i="1"/>
  <c r="G224" i="1"/>
  <c r="Y223" i="1"/>
  <c r="G223" i="1"/>
  <c r="Y222" i="1"/>
  <c r="G222" i="1"/>
  <c r="Y221" i="1"/>
  <c r="G221" i="1"/>
  <c r="Y220" i="1"/>
  <c r="G220" i="1"/>
  <c r="Y219" i="1"/>
  <c r="G219" i="1"/>
  <c r="Y218" i="1"/>
  <c r="G218" i="1"/>
  <c r="Y217" i="1"/>
  <c r="G217" i="1"/>
  <c r="Y216" i="1"/>
  <c r="G216" i="1"/>
  <c r="Y215" i="1"/>
  <c r="G215" i="1"/>
  <c r="Y214" i="1"/>
  <c r="G214" i="1"/>
  <c r="Y213" i="1"/>
  <c r="G213" i="1"/>
  <c r="Y212" i="1"/>
  <c r="G212" i="1"/>
  <c r="Y211" i="1"/>
  <c r="G211" i="1"/>
  <c r="Y210" i="1"/>
  <c r="G210" i="1"/>
  <c r="Y209" i="1"/>
  <c r="G209" i="1"/>
  <c r="Y208" i="1"/>
  <c r="G208" i="1"/>
  <c r="Y207" i="1"/>
  <c r="G207" i="1"/>
  <c r="Y206" i="1"/>
  <c r="G206" i="1"/>
  <c r="Y205" i="1"/>
  <c r="G205" i="1"/>
  <c r="Y204" i="1"/>
  <c r="G204" i="1"/>
  <c r="Y203" i="1"/>
  <c r="G203" i="1"/>
  <c r="Y202" i="1"/>
  <c r="G202" i="1"/>
  <c r="Y201" i="1"/>
  <c r="G201" i="1"/>
  <c r="Y200" i="1"/>
  <c r="G200" i="1"/>
  <c r="Y199" i="1"/>
  <c r="G199" i="1"/>
  <c r="Y198" i="1"/>
  <c r="G198" i="1"/>
  <c r="Y197" i="1"/>
  <c r="G197" i="1"/>
  <c r="Y196" i="1"/>
  <c r="G196" i="1"/>
  <c r="Y195" i="1"/>
  <c r="G195" i="1"/>
  <c r="Y194" i="1"/>
  <c r="G194" i="1"/>
  <c r="Y193" i="1"/>
  <c r="G193" i="1"/>
  <c r="Y192" i="1"/>
  <c r="G192" i="1"/>
  <c r="Y191" i="1"/>
  <c r="G191" i="1"/>
  <c r="Y190" i="1"/>
  <c r="G190" i="1"/>
  <c r="Y189" i="1"/>
  <c r="G189" i="1"/>
  <c r="Y188" i="1"/>
  <c r="G188" i="1"/>
  <c r="Y187" i="1"/>
  <c r="G187" i="1"/>
  <c r="Y186" i="1"/>
  <c r="G186" i="1"/>
  <c r="Y185" i="1"/>
  <c r="G185" i="1"/>
  <c r="Y184" i="1"/>
  <c r="G184" i="1"/>
  <c r="Y183" i="1"/>
  <c r="G183" i="1"/>
  <c r="Y182" i="1"/>
  <c r="G182" i="1"/>
  <c r="Y181" i="1"/>
  <c r="G181" i="1"/>
  <c r="Y180" i="1"/>
  <c r="G180" i="1"/>
  <c r="Y179" i="1"/>
  <c r="G179" i="1"/>
  <c r="Y178" i="1"/>
  <c r="G178" i="1"/>
  <c r="Y177" i="1"/>
  <c r="G177" i="1"/>
  <c r="Y176" i="1"/>
  <c r="G176" i="1"/>
  <c r="Y175" i="1"/>
  <c r="G175" i="1"/>
  <c r="Y174" i="1"/>
  <c r="G174" i="1"/>
  <c r="Y173" i="1"/>
  <c r="G173" i="1"/>
  <c r="Y172" i="1"/>
  <c r="G172" i="1"/>
  <c r="Y171" i="1"/>
  <c r="G171" i="1"/>
  <c r="Y170" i="1"/>
  <c r="G170" i="1"/>
  <c r="Y169" i="1"/>
  <c r="G169" i="1"/>
  <c r="Y168" i="1"/>
  <c r="G168" i="1"/>
  <c r="Y167" i="1"/>
  <c r="G167" i="1"/>
  <c r="Y166" i="1"/>
  <c r="G166" i="1"/>
  <c r="Y165" i="1"/>
  <c r="G165" i="1"/>
  <c r="Y164" i="1"/>
  <c r="G164" i="1"/>
  <c r="Y163" i="1"/>
  <c r="G163" i="1"/>
  <c r="Y162" i="1"/>
  <c r="G162" i="1"/>
  <c r="Y161" i="1"/>
  <c r="G161" i="1"/>
  <c r="Y160" i="1"/>
  <c r="G160" i="1"/>
  <c r="Y159" i="1"/>
  <c r="G159" i="1"/>
  <c r="Y158" i="1"/>
  <c r="G158" i="1"/>
  <c r="Y157" i="1"/>
  <c r="G157" i="1"/>
  <c r="Y156" i="1"/>
  <c r="G156" i="1"/>
  <c r="Y155" i="1"/>
  <c r="G155" i="1"/>
  <c r="Y154" i="1"/>
  <c r="G154" i="1"/>
  <c r="Y153" i="1"/>
  <c r="G153" i="1"/>
  <c r="Y152" i="1"/>
  <c r="G152" i="1"/>
  <c r="Y151" i="1"/>
  <c r="G151" i="1"/>
  <c r="Y150" i="1"/>
  <c r="G150" i="1"/>
  <c r="Y149" i="1"/>
  <c r="G149" i="1"/>
  <c r="Y148" i="1"/>
  <c r="G148" i="1"/>
  <c r="Y147" i="1"/>
  <c r="G147" i="1"/>
  <c r="Y146" i="1"/>
  <c r="G146" i="1"/>
  <c r="Y145" i="1"/>
  <c r="G145" i="1"/>
  <c r="Y144" i="1"/>
  <c r="G144" i="1"/>
  <c r="Y143" i="1"/>
  <c r="G143" i="1"/>
  <c r="Y142" i="1"/>
  <c r="G142" i="1"/>
  <c r="Y141" i="1"/>
  <c r="G141" i="1"/>
  <c r="Y140" i="1"/>
  <c r="G140" i="1"/>
  <c r="Y139" i="1"/>
  <c r="G139" i="1"/>
  <c r="Y138" i="1"/>
  <c r="G138" i="1"/>
  <c r="Y137" i="1"/>
  <c r="G137" i="1"/>
  <c r="Y136" i="1"/>
  <c r="G136" i="1"/>
  <c r="Y135" i="1"/>
  <c r="G135" i="1"/>
  <c r="Y134" i="1"/>
  <c r="G134" i="1"/>
  <c r="Y133" i="1"/>
  <c r="G133" i="1"/>
  <c r="Y132" i="1"/>
  <c r="G132" i="1"/>
  <c r="Y131" i="1"/>
  <c r="G131" i="1"/>
  <c r="Y130" i="1"/>
  <c r="G130" i="1"/>
  <c r="Y129" i="1"/>
  <c r="G129" i="1"/>
  <c r="Y128" i="1"/>
  <c r="G128" i="1"/>
  <c r="Y127" i="1"/>
  <c r="G127" i="1"/>
  <c r="Y126" i="1"/>
  <c r="G126" i="1"/>
  <c r="Y125" i="1"/>
  <c r="G125" i="1"/>
  <c r="Y124" i="1"/>
  <c r="G124" i="1"/>
  <c r="Y123" i="1"/>
  <c r="G123" i="1"/>
  <c r="Y122" i="1"/>
  <c r="G122" i="1"/>
  <c r="Y121" i="1"/>
  <c r="G121" i="1"/>
  <c r="Y120" i="1"/>
  <c r="G120" i="1"/>
  <c r="Y119" i="1"/>
  <c r="G119" i="1"/>
  <c r="Y118" i="1"/>
  <c r="G118" i="1"/>
  <c r="Y117" i="1"/>
  <c r="G117" i="1"/>
  <c r="Y116" i="1"/>
  <c r="G116" i="1"/>
  <c r="Y115" i="1"/>
  <c r="G115" i="1"/>
  <c r="Y114" i="1"/>
  <c r="G114" i="1"/>
  <c r="Y113" i="1"/>
  <c r="G113" i="1"/>
  <c r="Y112" i="1"/>
  <c r="G112" i="1"/>
  <c r="Y111" i="1"/>
  <c r="G111" i="1"/>
  <c r="Y110" i="1"/>
  <c r="G110" i="1"/>
  <c r="Y109" i="1"/>
  <c r="G109" i="1"/>
  <c r="Y108" i="1"/>
  <c r="G108" i="1"/>
  <c r="Y107" i="1"/>
  <c r="G107" i="1"/>
  <c r="Y106" i="1"/>
  <c r="G106" i="1"/>
  <c r="Y105" i="1"/>
  <c r="G105" i="1"/>
  <c r="Y104" i="1"/>
  <c r="G104" i="1"/>
  <c r="Y103" i="1"/>
  <c r="G103" i="1"/>
  <c r="Y102" i="1"/>
  <c r="G102" i="1"/>
  <c r="Y101" i="1"/>
  <c r="G101" i="1"/>
  <c r="Y100" i="1"/>
  <c r="G100" i="1"/>
  <c r="Y99" i="1"/>
  <c r="G99" i="1"/>
  <c r="Y98" i="1"/>
  <c r="G98" i="1"/>
  <c r="Y97" i="1"/>
  <c r="G97" i="1"/>
  <c r="Y96" i="1"/>
  <c r="G96" i="1"/>
  <c r="Y95" i="1"/>
  <c r="G95" i="1"/>
  <c r="Y94" i="1"/>
  <c r="G94" i="1"/>
  <c r="Y93" i="1"/>
  <c r="G93" i="1"/>
  <c r="Y92" i="1"/>
  <c r="G92" i="1"/>
  <c r="Y91" i="1"/>
  <c r="G91" i="1"/>
  <c r="Y90" i="1"/>
  <c r="G90" i="1"/>
  <c r="Y89" i="1"/>
  <c r="G89" i="1"/>
  <c r="Y88" i="1"/>
  <c r="G88" i="1"/>
  <c r="Y87" i="1"/>
  <c r="G87" i="1"/>
  <c r="Y86" i="1"/>
  <c r="G86" i="1"/>
  <c r="Y85" i="1"/>
  <c r="G85" i="1"/>
  <c r="Y84" i="1"/>
  <c r="G84" i="1"/>
  <c r="Y83" i="1"/>
  <c r="G83" i="1"/>
  <c r="Y82" i="1"/>
  <c r="G82" i="1"/>
  <c r="Y81" i="1"/>
  <c r="G81" i="1"/>
  <c r="Y80" i="1"/>
  <c r="G80" i="1"/>
  <c r="Y79" i="1"/>
  <c r="G79" i="1"/>
  <c r="Y78" i="1"/>
  <c r="G78" i="1"/>
  <c r="Y77" i="1"/>
  <c r="G77" i="1"/>
  <c r="Y76" i="1"/>
  <c r="G76" i="1"/>
  <c r="Y75" i="1"/>
  <c r="G75" i="1"/>
  <c r="Y74" i="1"/>
  <c r="G74" i="1"/>
  <c r="Y73" i="1"/>
  <c r="G73" i="1"/>
  <c r="Y72" i="1"/>
  <c r="G72" i="1"/>
  <c r="Y71" i="1"/>
  <c r="G71" i="1"/>
  <c r="Y70" i="1"/>
  <c r="G70" i="1"/>
  <c r="Y69" i="1"/>
  <c r="G69" i="1"/>
  <c r="Y68" i="1"/>
  <c r="G68" i="1"/>
  <c r="Y67" i="1"/>
  <c r="G67" i="1"/>
  <c r="Y66" i="1"/>
  <c r="G66" i="1"/>
  <c r="Y65" i="1"/>
  <c r="G65" i="1"/>
  <c r="Y64" i="1"/>
  <c r="G64" i="1"/>
  <c r="Y63" i="1"/>
  <c r="G63" i="1"/>
  <c r="Y62" i="1"/>
  <c r="G62" i="1"/>
  <c r="Y61" i="1"/>
  <c r="G61" i="1"/>
  <c r="Y60" i="1"/>
  <c r="G60" i="1"/>
  <c r="Y59" i="1"/>
  <c r="G59" i="1"/>
  <c r="Y58" i="1"/>
  <c r="G58" i="1"/>
  <c r="Y57" i="1"/>
  <c r="G57" i="1"/>
  <c r="Y56" i="1"/>
  <c r="G56" i="1"/>
  <c r="Y55" i="1"/>
  <c r="G55" i="1"/>
  <c r="Y54" i="1"/>
  <c r="G54" i="1"/>
  <c r="Y53" i="1"/>
  <c r="G53" i="1"/>
  <c r="Y52" i="1"/>
  <c r="G52" i="1"/>
  <c r="Y51" i="1"/>
  <c r="G51" i="1"/>
  <c r="Y50" i="1"/>
  <c r="G50" i="1"/>
  <c r="Y49" i="1"/>
  <c r="G49" i="1"/>
  <c r="Y48" i="1"/>
  <c r="G48" i="1"/>
  <c r="Y47" i="1"/>
  <c r="G47" i="1"/>
  <c r="Y46" i="1"/>
  <c r="G46" i="1"/>
  <c r="Y45" i="1"/>
  <c r="G45" i="1"/>
  <c r="Y44" i="1"/>
  <c r="G44" i="1"/>
  <c r="Y43" i="1"/>
  <c r="G43" i="1"/>
  <c r="Y42" i="1"/>
  <c r="G42" i="1"/>
  <c r="Y41" i="1"/>
  <c r="G41" i="1"/>
  <c r="Y40" i="1"/>
  <c r="G40" i="1"/>
  <c r="Y39" i="1"/>
  <c r="G39" i="1"/>
  <c r="Y38" i="1"/>
  <c r="G38" i="1"/>
  <c r="Y37" i="1"/>
  <c r="G37" i="1"/>
  <c r="Y36" i="1"/>
  <c r="G36" i="1"/>
  <c r="Y35" i="1"/>
  <c r="G35" i="1"/>
  <c r="Y34" i="1"/>
  <c r="G34" i="1"/>
  <c r="Y33" i="1"/>
  <c r="G33" i="1"/>
  <c r="Y32" i="1"/>
  <c r="G32" i="1"/>
  <c r="Y31" i="1"/>
  <c r="G31" i="1"/>
  <c r="Y30" i="1"/>
  <c r="G30" i="1"/>
  <c r="Y29" i="1"/>
  <c r="G29" i="1"/>
  <c r="Y28" i="1"/>
  <c r="G28" i="1"/>
  <c r="Y27" i="1"/>
  <c r="G27" i="1"/>
  <c r="Y26" i="1"/>
  <c r="G26" i="1"/>
  <c r="Y25" i="1"/>
  <c r="G25" i="1"/>
  <c r="Y24" i="1"/>
  <c r="G24" i="1"/>
  <c r="Y23" i="1"/>
  <c r="G23" i="1"/>
  <c r="Y22" i="1"/>
  <c r="G22" i="1"/>
  <c r="Y21" i="1"/>
  <c r="G21" i="1"/>
  <c r="Y20" i="1"/>
  <c r="G20" i="1"/>
  <c r="Y19" i="1"/>
  <c r="G19" i="1"/>
  <c r="Y18" i="1"/>
  <c r="G18" i="1"/>
  <c r="Y17" i="1"/>
  <c r="G17" i="1"/>
  <c r="Y16" i="1"/>
  <c r="G16" i="1"/>
  <c r="Y15" i="1"/>
  <c r="G15" i="1"/>
  <c r="Y14" i="1"/>
  <c r="G14" i="1"/>
  <c r="Y13" i="1"/>
  <c r="G13" i="1"/>
  <c r="Y12" i="1"/>
  <c r="G12" i="1"/>
  <c r="Y11" i="1"/>
  <c r="G11" i="1"/>
  <c r="Y10" i="1"/>
  <c r="G10" i="1"/>
  <c r="Y9" i="1"/>
  <c r="G9" i="1"/>
  <c r="J7" i="1"/>
  <c r="F7" i="1"/>
  <c r="D7" i="1"/>
  <c r="B7" i="1"/>
</calcChain>
</file>

<file path=xl/sharedStrings.xml><?xml version="1.0" encoding="utf-8"?>
<sst xmlns="http://schemas.openxmlformats.org/spreadsheetml/2006/main" count="9079" uniqueCount="1073">
  <si>
    <t>PLANEACIÓN 2026 (JUNIO  - SEPTIEMBRE 2026)</t>
  </si>
  <si>
    <t>PRGX MEXICO</t>
  </si>
  <si>
    <t>Proveedor</t>
  </si>
  <si>
    <t>Nombre proveedor</t>
  </si>
  <si>
    <t>Total_Records</t>
  </si>
  <si>
    <t>suma compra neta 2020-2025 (antes imptos)</t>
  </si>
  <si>
    <t>suma compra neta 2020-2024 (antes imptos)</t>
  </si>
  <si>
    <t>suma compra neta 2025 (antes imptos)</t>
  </si>
  <si>
    <t>saldo al 26may2026</t>
  </si>
  <si>
    <t>saldo</t>
  </si>
  <si>
    <t>TOP</t>
  </si>
  <si>
    <t>RESULTADO NS 2020-2024 PDTE</t>
  </si>
  <si>
    <t>PENDIENTES 2020-2024</t>
  </si>
  <si>
    <t>PENDIENTES 2025</t>
  </si>
  <si>
    <t>MES</t>
  </si>
  <si>
    <t>Asignación 2024</t>
  </si>
  <si>
    <t>Asignación 2025</t>
  </si>
  <si>
    <t>IND Diferencia PAGOS x Factura</t>
  </si>
  <si>
    <t xml:space="preserve">IND Diferencia PAGOS x Nota </t>
  </si>
  <si>
    <t>INDICADOR APORT SAP Estatus 4)-</t>
  </si>
  <si>
    <t>Terminados TRACKER 20-24 al 13Jul26</t>
  </si>
  <si>
    <t>Estatus TRACKER 20-24</t>
  </si>
  <si>
    <t>Terminados Tracker 25 al 13Jul26</t>
  </si>
  <si>
    <t>Estatus Tracker 25</t>
  </si>
  <si>
    <t>Comentario Auditoria</t>
  </si>
  <si>
    <t>Prioridad descarga Oscar (Validación de convenios)</t>
  </si>
  <si>
    <t>Liga DASH</t>
  </si>
  <si>
    <t>TOP 230</t>
  </si>
  <si>
    <t>BACHOCO S.A. DE C.V.</t>
  </si>
  <si>
    <t>TERMINADO</t>
  </si>
  <si>
    <t>REVISAR 2025</t>
  </si>
  <si>
    <t>Agosto 2026</t>
  </si>
  <si>
    <t>Marcela</t>
  </si>
  <si>
    <t>Terminado</t>
  </si>
  <si>
    <t>Pendiente</t>
  </si>
  <si>
    <t>MOLINERA DE MEXICO, S.A. DE C.V.</t>
  </si>
  <si>
    <t>Raúl</t>
  </si>
  <si>
    <t>COMERCIALIZADORA DE LACTEOS Y DERIV ADOS S.A D</t>
  </si>
  <si>
    <t>Luis</t>
  </si>
  <si>
    <t>COMERCIALIZADORA PEPSICO MEXICO S D E RL DE CV</t>
  </si>
  <si>
    <t>REVISAR 2020 - 2024</t>
  </si>
  <si>
    <t>Belem</t>
  </si>
  <si>
    <t>En Proceso</t>
  </si>
  <si>
    <t>Prioridad</t>
  </si>
  <si>
    <t>KIMBERLY CLARK DE MEXICO S A B DE C V</t>
  </si>
  <si>
    <t>Yessenia</t>
  </si>
  <si>
    <t>SIGMA ALIMENTOS COMERCIAL SA DE CV</t>
  </si>
  <si>
    <t>Jessica</t>
  </si>
  <si>
    <t>PROCTER &amp; GAMBLE MEXICO S DE RL DE</t>
  </si>
  <si>
    <t>COLGATE PALMOLIVE,S.A. DE C.V.</t>
  </si>
  <si>
    <t>Julio 2026</t>
  </si>
  <si>
    <t>Perla</t>
  </si>
  <si>
    <t>MARCAS NESTL S.A DE C.V.</t>
  </si>
  <si>
    <t>LOGISTICA ARTERGO SAPI DE CV</t>
  </si>
  <si>
    <t>SIN SALDO</t>
  </si>
  <si>
    <t>Septiembre 2026</t>
  </si>
  <si>
    <t>Andrea</t>
  </si>
  <si>
    <t>Proveedor sin saldo</t>
  </si>
  <si>
    <t>SUKARNE S.A. DE C.V.</t>
  </si>
  <si>
    <t>Junio 2026</t>
  </si>
  <si>
    <t>GRUPO EMPRESARIAL RODRIGUEZ S.A DE C.V</t>
  </si>
  <si>
    <t>Mayo 2026</t>
  </si>
  <si>
    <t>CERVECERIA MODELO DE MEXICO S DE RL DE CV</t>
  </si>
  <si>
    <t>Terminado - FR</t>
  </si>
  <si>
    <t>PROPIMEX S DE RL DE CV</t>
  </si>
  <si>
    <t>UNILEVER DE MEXICO S. DE R.L. DE C. V.</t>
  </si>
  <si>
    <t>CERVEZAS CUAUHTEMOC MOCTEZUMA SA DE CV</t>
  </si>
  <si>
    <t>Erika</t>
  </si>
  <si>
    <t>HERDEZ S.A. DE C.V.</t>
  </si>
  <si>
    <t>MOLINOS AZTECA S.A. DE C.V.</t>
  </si>
  <si>
    <t>Olfi</t>
  </si>
  <si>
    <t>INTERCARNES SA DE CV PROCESADOS</t>
  </si>
  <si>
    <t>BEBIDAS PURIFICADAS S DE RL DE CV</t>
  </si>
  <si>
    <t>FABRICA DE JABN LA CORONA</t>
  </si>
  <si>
    <t>PILGRIMS PRIDE S DE RL DE CV</t>
  </si>
  <si>
    <t>GANADEROS PRODUCTORES DE LECHE PURA S.A.P.I. DE C.V.</t>
  </si>
  <si>
    <t>KELLOGG COMPANY MEXICO S DE RL DE C V</t>
  </si>
  <si>
    <t>RAGASA INDUSTRIAS SA DE CV</t>
  </si>
  <si>
    <t>QUALTIA ALIMENTOS OPERACIONES S. DE R.L. DE C</t>
  </si>
  <si>
    <t>MONDELEZ MEXICO S DE RL DE CV</t>
  </si>
  <si>
    <t>Sareé</t>
  </si>
  <si>
    <t>CENTRAL HARINERA,S.A. DE C.V.</t>
  </si>
  <si>
    <t>NADRO S A P I DE CV</t>
  </si>
  <si>
    <t>Alen del Norte S.A. de C.V.</t>
  </si>
  <si>
    <t>PRODUCTOS VERDE VALLE, S.A. DE C.V.</t>
  </si>
  <si>
    <t>DANONE DE MEXICO S,A DE C.V</t>
  </si>
  <si>
    <t>MOLINOS AZTECA DE CHALCO S.A. DE C. V.</t>
  </si>
  <si>
    <t>Yessica</t>
  </si>
  <si>
    <t>FRABEL S.A. DE C.V.</t>
  </si>
  <si>
    <t>Marcas Nestl S.A. de C.V.</t>
  </si>
  <si>
    <t>GENAPRO SA DE CV</t>
  </si>
  <si>
    <t>BARCEL  S.A. DE C.V.</t>
  </si>
  <si>
    <t>SOC COOP TRABAJADORES DE PASCUAL SC L</t>
  </si>
  <si>
    <t>PINSA COMERCIAL SA DE CV</t>
  </si>
  <si>
    <t>GRUPO GUSI SPR DE RL DE CV</t>
  </si>
  <si>
    <t>AUSTRAL TRADING MEXICO SA DE CV</t>
  </si>
  <si>
    <t>Samuel</t>
  </si>
  <si>
    <t>HENKEL CAPITAL SA DE CV</t>
  </si>
  <si>
    <t>BONMORO S.A DE C.V.</t>
  </si>
  <si>
    <t>CONSERVAS LA COSTE¥A SA DE CV</t>
  </si>
  <si>
    <t>CEREALES Y PASTAS SA DE CV</t>
  </si>
  <si>
    <t>MATTEL DE MEXICO, S.A. DE C.V.</t>
  </si>
  <si>
    <t>GRANJAS ORESPI S.A. DE C.V.</t>
  </si>
  <si>
    <t>SANTA CLARA MERCANTIL DE PACHUCA SA DE CV</t>
  </si>
  <si>
    <t>COMERCIALIZADORA ELORO SA</t>
  </si>
  <si>
    <t>EFFEM MEXICO INC Y COMPA¥IA S EN NC DE CV</t>
  </si>
  <si>
    <t>Manufacturas Power SA De CV</t>
  </si>
  <si>
    <t>Proteina Animal SA de CV</t>
  </si>
  <si>
    <t>SAMSUNG ELECTRONICS MEXICO, S.A. DE C.V. (28076)</t>
  </si>
  <si>
    <t>CREMERIA AGUASCALIENTES SA DE CV</t>
  </si>
  <si>
    <t>COMARKET S.A. DE C.V.</t>
  </si>
  <si>
    <t>BDF MEXICO S.A DE C.V</t>
  </si>
  <si>
    <t>LG ELETRONICS SA DE CV</t>
  </si>
  <si>
    <t>PROXIMO NATAL SAPI DE CV</t>
  </si>
  <si>
    <t>MONTECARLO SPR DE RL DE CV</t>
  </si>
  <si>
    <t>REPRESENTACIONES NYJISA S. A. de C. V.</t>
  </si>
  <si>
    <t>PRODUCTOS INTERNACIONALES MABE S.A. DE C.V.</t>
  </si>
  <si>
    <t>COMPA¥IA EMBOTELLADORA DEL FUERTE S DE RL CV</t>
  </si>
  <si>
    <t>ESSITY HIGIENE Y SALUD MEXICO SA DE CV</t>
  </si>
  <si>
    <t>JUGOS DEL VALLE SAPI DE CV</t>
  </si>
  <si>
    <t>PRODUCTORA NACIONAL DE HUEVO SA DE CV</t>
  </si>
  <si>
    <t>CASA MARZAM SA DE CV</t>
  </si>
  <si>
    <t>MAQUILAS Y DETALLISTAS SA DE CV</t>
  </si>
  <si>
    <t>GENOMMA LAB INTERNACIONAL S.A.B. DE C.V.</t>
  </si>
  <si>
    <t>ACEITES GRASAS Y DERIVADOS S.A. DE C.V.</t>
  </si>
  <si>
    <t>XWIFT SA DE CV</t>
  </si>
  <si>
    <t>RECKITT BENCKISER MEXICO SA DE CV</t>
  </si>
  <si>
    <t>PRODUCTOS AVICOLAS EL CALVARIO S DE RL DE CV</t>
  </si>
  <si>
    <t>PRODUCTOS BGA SA DE CV</t>
  </si>
  <si>
    <t>FERRERO DE MEXICO SA DE CV</t>
  </si>
  <si>
    <t>LYNCOTT ALIMENTARIA SAPI DE CV</t>
  </si>
  <si>
    <t>IMPORT Y EXPORT DE FTAS Y LEG DE ME XICO</t>
  </si>
  <si>
    <t>CONAGRA FOODS MEXICO SA DE CV</t>
  </si>
  <si>
    <t>CENTRO DE DISTRIBUCION EL ROSAL SA DE CV</t>
  </si>
  <si>
    <t>ABSORMEX CMPC TISSUE SA DE CV</t>
  </si>
  <si>
    <t>DAWN MIXCO INTERNACIONAL S.A. DE C. V.</t>
  </si>
  <si>
    <t>Harinera de Ma¡z de Jalisco.S.A.</t>
  </si>
  <si>
    <t>CONTROLADORA MABE SA DE CV</t>
  </si>
  <si>
    <t>AIRPAC SA DE CV</t>
  </si>
  <si>
    <t xml:space="preserve">14 julio </t>
  </si>
  <si>
    <t>COMERCIALIZADORA PORCICOLA MEXICANA SA DE CV</t>
  </si>
  <si>
    <t>MARINDUSTRIAS S.A. DE C.V.</t>
  </si>
  <si>
    <t>COMERCIALIZADORA DE MOTOCICLETAS DE CALIDAD</t>
  </si>
  <si>
    <t>FABRICA DE PAPEL SAN FRANCISCO SA D E CV</t>
  </si>
  <si>
    <t>COMERCIALIZADORA GAB SA DE CV</t>
  </si>
  <si>
    <t>ZUCARMEX SA DE CV</t>
  </si>
  <si>
    <t>DIAGEO MEXICO S.A. DE C.V.</t>
  </si>
  <si>
    <t>P C A RANCHO LAS MARAVILLAS SA DE C V</t>
  </si>
  <si>
    <t>TELEVISA S DE RL DE CV</t>
  </si>
  <si>
    <t>EMPACADORA CAMPO FRIO SA DE CV</t>
  </si>
  <si>
    <t>HARI MASA SA DE CV</t>
  </si>
  <si>
    <t>EMPRESAS TAJIN, S.A. DE C.V.</t>
  </si>
  <si>
    <t>DISTRIBUIDORA LIBSA S DE RL DE CV</t>
  </si>
  <si>
    <t xml:space="preserve">15 julio </t>
  </si>
  <si>
    <t>DISTRIBUIDORA DE CERVEZAS DEL PITIC SA DE CV</t>
  </si>
  <si>
    <t>IMPULSORA DE SERVICIOS Y AZUCAR SA DE CV</t>
  </si>
  <si>
    <t>PRODUCTOS ALIMENTICIOS LA MODERNA S .A. DE C.V</t>
  </si>
  <si>
    <t>POLLO INDUSTRIALIZADO DE MEXICO SA DE CV</t>
  </si>
  <si>
    <t>MEAD JOHNSON NUTRICIONALES DE MEXIC O S DE RL DE CV</t>
  </si>
  <si>
    <t>MALTA TEXO DE MEXICO SA DE CV</t>
  </si>
  <si>
    <t>GRISI HNOS SA DE CV</t>
  </si>
  <si>
    <t>TRICORP INVESTMENTS SAPI DE CV</t>
  </si>
  <si>
    <t xml:space="preserve">16 julio </t>
  </si>
  <si>
    <t>ACH FOODS MEXICO S DE RL DE CV</t>
  </si>
  <si>
    <t>EMPACADORA CELAYA SA DE CV</t>
  </si>
  <si>
    <t>PRADERAS HUASTECAS S.P.R. DE R.L.</t>
  </si>
  <si>
    <t>HARINERA DE MAIZ DE MEXICALI S.A. D E C.V.</t>
  </si>
  <si>
    <t>AGROPECUARIA EL HUIZACHE SA DE CV</t>
  </si>
  <si>
    <t>BEMIS DE MEXICO SA DE CV</t>
  </si>
  <si>
    <t xml:space="preserve">17 julio </t>
  </si>
  <si>
    <t>G Y S MARKETING S DE RL DE CV</t>
  </si>
  <si>
    <t>EMBOTELLADORAS BEPENSA SA DE CV</t>
  </si>
  <si>
    <t>BROWN-FORMAN TEQUILA MEXICO S DE RL</t>
  </si>
  <si>
    <t>GRUPO RANCHO EL NOPAL SA DE CV</t>
  </si>
  <si>
    <t>Hershey Mexico SA de CV</t>
  </si>
  <si>
    <t>JOHNSON &amp; JOHNSON, S.A. DE C.V.</t>
  </si>
  <si>
    <t>RANCHO EL 17 SA DE CV</t>
  </si>
  <si>
    <t>INDUSTRIAS FRIGORIFICAS  SA DE CV</t>
  </si>
  <si>
    <t>MENESES GUTIERREZ HUEMAN</t>
  </si>
  <si>
    <t>PRODUCTOS RICH S.A. DE C.V.</t>
  </si>
  <si>
    <t>PERNOD RICARD MEXICO, S.A. DE C.V.</t>
  </si>
  <si>
    <t>FOOD SOLUTIONS S.A. DE C.V.</t>
  </si>
  <si>
    <t>INIX COMERCIAL SA DE CV</t>
  </si>
  <si>
    <t>YAKULT S.A DE C.V.</t>
  </si>
  <si>
    <t>QUESERIA DOS LAGUNAS, S. DE P.R.</t>
  </si>
  <si>
    <t>SANCHEZ Y MARTIN, S.A. DE C.V.</t>
  </si>
  <si>
    <t>UPFIELD MEXICO S DE RL DE CV</t>
  </si>
  <si>
    <t>CAFE EL MARINO SA DE CV</t>
  </si>
  <si>
    <t>GUTIERREZ MERCADO FRANCISCO</t>
  </si>
  <si>
    <t>BODEGAS LA NEGRITA S A DE C V</t>
  </si>
  <si>
    <t>INDUSTRIAL NOHRA SA DE CV</t>
  </si>
  <si>
    <t>PRODUCTOS ALIMENTICIOS Y DIETETICOS RELAMPAGO SA DE CV</t>
  </si>
  <si>
    <t>MERCADO MK, S. DE R.L. DE C.V.</t>
  </si>
  <si>
    <t>Bunzl de Mexico S.A. de C.V.</t>
  </si>
  <si>
    <t>PASTEURIZADORA MAULEC SA DE CV</t>
  </si>
  <si>
    <t>IMPULSORA DE BIENES ALAMEDA SA DE C V</t>
  </si>
  <si>
    <t>VF-DILTEX S. DE R.L. DE C.V.</t>
  </si>
  <si>
    <t>CORAL INTERNACIONAL SA DE CV</t>
  </si>
  <si>
    <t>BOMUCA SA DE CV</t>
  </si>
  <si>
    <t>LA MADRILENA, S.A.</t>
  </si>
  <si>
    <t>GRUPO CITRIMEX SA DE CV</t>
  </si>
  <si>
    <t>PROTEINAS Y OLEICOS SA DE CV</t>
  </si>
  <si>
    <t>EMBUTIDOS CORONA S.A. DE C.V.</t>
  </si>
  <si>
    <t>FRABEL, S.A. DE C.V    DIV.COSMETIC OS</t>
  </si>
  <si>
    <t>BACARDI Y COMPANIA S.A. DE C.V.</t>
  </si>
  <si>
    <t>4E GLOBAL SAPI DE CV</t>
  </si>
  <si>
    <t>FRUTAS Y VERDURAS SAN MIGUEL S.A. D E C.</t>
  </si>
  <si>
    <t>HFC PRESTIGE INTERNATIONAL S DE RL DE CV</t>
  </si>
  <si>
    <t>LASTUR SA DE CV</t>
  </si>
  <si>
    <t>FRIMEX ALIMENTOS SA DE CV</t>
  </si>
  <si>
    <t>3M MEXICO SA DE CV</t>
  </si>
  <si>
    <t>SWTS DIRECT S DE RL DE CV</t>
  </si>
  <si>
    <t>GEMIX SA DE CV</t>
  </si>
  <si>
    <t>SISTEMA DE DESCANSO LORD SA DE CV</t>
  </si>
  <si>
    <t>NACIONAL DE ALIMENTOS Y HELADOS S.A . DE C.V.</t>
  </si>
  <si>
    <t>ALIMENTOS DESHIDRATADOS S.A. DE C.V</t>
  </si>
  <si>
    <t>DISTRIBUIDORA DE PRODUCTOS DESHIDRA TADOS SA C</t>
  </si>
  <si>
    <t>TECNOSOCKS SA DE CV</t>
  </si>
  <si>
    <t>CON ALIMENTOS, S.A. DE C.V. (44172)</t>
  </si>
  <si>
    <t>RINPLAY S DE RL DE CV</t>
  </si>
  <si>
    <t>DISTRIBUIDORA COLOSO INTERNACIONAL SA DE CV</t>
  </si>
  <si>
    <t>SONORA AGROPECUARIA SA DE CV</t>
  </si>
  <si>
    <t>INDUSTRIAS CANNON S.A. DE C.V.</t>
  </si>
  <si>
    <t>EMBOTELLADORA MEXICANA SA DE CV</t>
  </si>
  <si>
    <t>H.U.T. INTERNACIONAL S.A. DE C.V.</t>
  </si>
  <si>
    <t>HEINZ MEXICO SA DE CV</t>
  </si>
  <si>
    <t>DISTRIBUIDORA FRUIT OF THE LOOM SA DE CV</t>
  </si>
  <si>
    <t>champi¤ones monteblanco s de rl de cv</t>
  </si>
  <si>
    <t>GENA AGROPECUARIA SA DE CV</t>
  </si>
  <si>
    <t>BONAFONT SA DE CV</t>
  </si>
  <si>
    <t>SANDRA LILIA ROMERO COPCA</t>
  </si>
  <si>
    <t>PROVEEDORA DE FRUTAS CAVI SA DE CV</t>
  </si>
  <si>
    <t>PROMEXSEL SA DE CV</t>
  </si>
  <si>
    <t>INDUSTRIAL PATRONA S.A. DE C.V.</t>
  </si>
  <si>
    <t>COMERCIAL ATOCPAN SC.DE R.L. DE CV</t>
  </si>
  <si>
    <t>PASTEURIZADORA AGUASCALIENTES, S.A. DE C.V.</t>
  </si>
  <si>
    <t>MAXIM ALIMENTOS S. A. DE C. V.</t>
  </si>
  <si>
    <t>FABRICA DE PAPEL SAN FRANCISCO SA DE CV</t>
  </si>
  <si>
    <t>ABBOTT LABORATORIES DE MEXICO SA DE CV</t>
  </si>
  <si>
    <t>UNILEVER DE MEXICO S DE RL DE CV</t>
  </si>
  <si>
    <t>DISTRIBUIDORA DE PAPA COSTE¥A, S.A DE C.V</t>
  </si>
  <si>
    <t>PHILIP MORRIS MEXICO SA DE CV</t>
  </si>
  <si>
    <t>AVICULTURA AL DETALLE SA DE CV</t>
  </si>
  <si>
    <t>PACTECH RETAIL S DE RL DE CV</t>
  </si>
  <si>
    <t>Frigorizados La Huerta S.A. de C.V.</t>
  </si>
  <si>
    <t>HARINERA DE VERACRUZ S.A. DE C.V.</t>
  </si>
  <si>
    <t>DISTRIBUIDORA DE FRUTAS DELPACIFICO SA DE CV</t>
  </si>
  <si>
    <t>VASCONIA BRANDS S.A de C.V.</t>
  </si>
  <si>
    <t>PRODUCTOS DE HARINA S.A. DE C.V.</t>
  </si>
  <si>
    <t>IMPORTACIONES Y DISTRIBUCIONES INTE RNACIONALE</t>
  </si>
  <si>
    <t>RANCHO SAN LUIS PGMX SA DE CV</t>
  </si>
  <si>
    <t>FARMACUTICA RACEL S.A. DE C.V.</t>
  </si>
  <si>
    <t>SELECTA DEL CAMPO SA DE CV</t>
  </si>
  <si>
    <t>SELECCIONADOS DEL CAMPO TER SA DE C V</t>
  </si>
  <si>
    <t>CREMERIA AMERICANA SAPI DE CV</t>
  </si>
  <si>
    <t>PRODUCTORA MEXICANA DE ARROZ SAPI DE CV</t>
  </si>
  <si>
    <t>VCT &amp; DG MEXICO SA DE CV</t>
  </si>
  <si>
    <t>LACTEOS MOJICA SA DE CV</t>
  </si>
  <si>
    <t>CHURCH &amp; DWIGHT,S. DE R.L. DE C.V.</t>
  </si>
  <si>
    <t>NAVAFRUT SA DE CV</t>
  </si>
  <si>
    <t>EMPACADORA DE CARNES NUEVO LEON SA DE CV</t>
  </si>
  <si>
    <t>Comercializadora Ikal S de RL DE CV</t>
  </si>
  <si>
    <t>EMBOTELLADORA NIAGARA DE MEXICO S DE RL DE CV</t>
  </si>
  <si>
    <t>FRESA MEX CARLOS GUTIERREZ SA DE CV</t>
  </si>
  <si>
    <t>RG FRIO SP DE RL DE CV</t>
  </si>
  <si>
    <t>US COTTON MEXICO S DE RL DE CV</t>
  </si>
  <si>
    <t>PRODUCTOS DIAMCERS SA DE CV</t>
  </si>
  <si>
    <t>QUALAMEX SA DE CV</t>
  </si>
  <si>
    <t>cedral greenhouse sa de cv</t>
  </si>
  <si>
    <t>CHANTILLY S.A. DE C.V.</t>
  </si>
  <si>
    <t>GRUPO INDUSTRIAL VIDA SA DE CV</t>
  </si>
  <si>
    <t>DISTRIBUIDORES ESPECIALIZADOS OCEJO S.A DEC.V</t>
  </si>
  <si>
    <t>EMBOTELLADORA LAS MARGARITAS SAPI DE CV</t>
  </si>
  <si>
    <t>WHIRLPOOL MEXICO S DE RL DE CV</t>
  </si>
  <si>
    <t>ALIMENTOS LA SANITARIA SA DE CV</t>
  </si>
  <si>
    <t>FRIGORIFICA SONORENSE DJ SA DE CV</t>
  </si>
  <si>
    <t>TRESMONTES LUCCHETTI MEXICO SA DE C V</t>
  </si>
  <si>
    <t>ALIMENTOS CALIDAD OPTIMA SA DE CV</t>
  </si>
  <si>
    <t>JK TORNEL SA DE CV</t>
  </si>
  <si>
    <t>PRONUA S.A. DE C.V.</t>
  </si>
  <si>
    <t>DISTRIBUIDORA FTS SA DE CV</t>
  </si>
  <si>
    <t>PACTIV FOODSERVICE MEXICO S DE RL D E CV</t>
  </si>
  <si>
    <t>SIMJAT S.A. DE C.V.</t>
  </si>
  <si>
    <t>MARCHAMS SA DE CV</t>
  </si>
  <si>
    <t>NEXT VEGETALES SA DE CV</t>
  </si>
  <si>
    <t>INDUSTRIAS ROSMAR SA DE CV</t>
  </si>
  <si>
    <t>MEXIDELI SA DE CV</t>
  </si>
  <si>
    <t>I &amp;C DE PRODUCTOS DEL CAMPO SA DE C</t>
  </si>
  <si>
    <t>PRO VENTA S.A. DE C.V.</t>
  </si>
  <si>
    <t>REVLON S.A. DE C.V.</t>
  </si>
  <si>
    <t>LEONALI S. DE R.L. DE C.V.</t>
  </si>
  <si>
    <t>INDUSTRIAS DE MARISCOS MEXICANOS SA DE CV</t>
  </si>
  <si>
    <t>EDGEWELL PERSONAL CARE MEXICO SA DE CV</t>
  </si>
  <si>
    <t>ecm de vinos sa de cv</t>
  </si>
  <si>
    <t>DISTRIBUIDORA KROMA SA DE CV</t>
  </si>
  <si>
    <t>CARVAJAL EDUCACION S.A. DE C.V.</t>
  </si>
  <si>
    <t>INDUSTRIAS CAMPO FRESCO SA DE CV</t>
  </si>
  <si>
    <t>VISION COMERCIAL DEPORTIVA SA DE CV</t>
  </si>
  <si>
    <t>RYC ALIMENTOS S.A. DE C.V.</t>
  </si>
  <si>
    <t>QUIMICA GONCAL SA DE CV</t>
  </si>
  <si>
    <t>PRODUCTOS TITO SA DECV</t>
  </si>
  <si>
    <t>BAYER DE MEXICO, S.A. DE C.V.</t>
  </si>
  <si>
    <t>MOLINOS AZTECA DE VERACRUZ S.A. DE C.V.</t>
  </si>
  <si>
    <t>SPIN MASTER MEXICO SA DE CV</t>
  </si>
  <si>
    <t>LACTEOS INDUSTRIALIZADOS DEL NOREST E S.A. C.V</t>
  </si>
  <si>
    <t>COLIMAN FRUTAS FINAS S DE RL DE CV</t>
  </si>
  <si>
    <t>HERNANDEZ ACERETO OLIVER JOAQUIN</t>
  </si>
  <si>
    <t>PAPA LAVADA Y SELECCIONADA AMERICA SA DE CV</t>
  </si>
  <si>
    <t>AGROHORTALIZAS EL MILAGRO SPR DE RL</t>
  </si>
  <si>
    <t>EMPACADORA AGRICOLA AVOK2, SA DE CV</t>
  </si>
  <si>
    <t>INDUSTRIAS VOIT,S.A. DE C.V.</t>
  </si>
  <si>
    <t>EMPACADORA SAN MARCOS S.A. DE  C.V.</t>
  </si>
  <si>
    <t>IMPORTADORA Y DISTRIBUIDORA LA CANASTA S DE RL DE CV</t>
  </si>
  <si>
    <t>JUGUETES FAMOSA. S.A. DE CV..</t>
  </si>
  <si>
    <t>LETICIA PAMMY SA DE CV</t>
  </si>
  <si>
    <t>SUPER FRUTAS D Y P DE JALISCO SA DE CV</t>
  </si>
  <si>
    <t>NO SABE FALLAR S.A DE C.V.</t>
  </si>
  <si>
    <t>COMERCIAL IMPORTADORA S DE RL DE CV</t>
  </si>
  <si>
    <t>MISSION FOODS MEXICO S DE RL DE CV</t>
  </si>
  <si>
    <t>DEOLEO COMERCIAL MEXICO SA DE CV</t>
  </si>
  <si>
    <t>Sales del Istmo SA de CV</t>
  </si>
  <si>
    <t>MATERIAS PRIMAS JV SA DE CV</t>
  </si>
  <si>
    <t>DISTRIBUIDORA DE ROPA VIVA S.A. DE C.V.</t>
  </si>
  <si>
    <t>PROVEEDORA DE AZUCAR DEL NORTE S.A. DE C.V.</t>
  </si>
  <si>
    <t>Comercializadora Cantu SA de CV</t>
  </si>
  <si>
    <t>ALMENDRA PRODUCE SA DE CV</t>
  </si>
  <si>
    <t>COMERCIALIZADORA DE FRUTAS FINAS TA RAHUMARA S</t>
  </si>
  <si>
    <t>S2G MEXICO LLC</t>
  </si>
  <si>
    <t>CUETARA DISTRIBUCION SA DE CV</t>
  </si>
  <si>
    <t>SUNSTAR AMERICAS MEXICO S. de R.L. de C.V.</t>
  </si>
  <si>
    <t>MANUEL ESPINOSA ALVAREZ</t>
  </si>
  <si>
    <t>UNION KIDS SA DE CV</t>
  </si>
  <si>
    <t>ABASTECEDORA DE CARNES SAN GABRIEL SA DE CV</t>
  </si>
  <si>
    <t>BONETERA MONTERREY SA DE CV</t>
  </si>
  <si>
    <t>VALLE REDONDO S. A. DE C. V.</t>
  </si>
  <si>
    <t>SALMI DEL SURESTE SA DE CV</t>
  </si>
  <si>
    <t>ADMINISTRADORA DART S DE RL DE CV</t>
  </si>
  <si>
    <t>GROUPE SEB MEXICO SA DE CV</t>
  </si>
  <si>
    <t>DISTRIBUIDORA LIMBELL SA DE CV</t>
  </si>
  <si>
    <t>COMERCIALIZADORA INTERNACIONAL MANSIVA SA DE CV</t>
  </si>
  <si>
    <t>SCHETTINO HERMANOS S DE RL DE CV</t>
  </si>
  <si>
    <t>PEDRO DOMECQ SA DE CV</t>
  </si>
  <si>
    <t>VILLARREAL GARZA ROBERTO</t>
  </si>
  <si>
    <t>GRUPO INDUSTRIAL Y COMERCIAL NAVA RRO SA DE CV</t>
  </si>
  <si>
    <t>CALKINS BURKE &amp; ZANNIE DE MEXICO SA</t>
  </si>
  <si>
    <t>LEGO MEXICO SA DE CV</t>
  </si>
  <si>
    <t>ALIMENTOS SELLO ROJO SA DE CV</t>
  </si>
  <si>
    <t>ALIMENTOS PREFORMADOS SA DE CV</t>
  </si>
  <si>
    <t>FRUTAS SELECTAS DE TIJUANA,S DE RL DE CV</t>
  </si>
  <si>
    <t>INDUSTRIAS GUADALAJARA SUR SA DE CV</t>
  </si>
  <si>
    <t>DISTRIBUIDORA DE LACTEOS ALGIL SA D E CV</t>
  </si>
  <si>
    <t>GRUPO DAFNA S A DE C V</t>
  </si>
  <si>
    <t>GRUPO BEBEELE SA DE CV</t>
  </si>
  <si>
    <t>GRUPO CLARASOL SA DE CV</t>
  </si>
  <si>
    <t>CAPICO DISTRIBUCION S.A. DE C.V.</t>
  </si>
  <si>
    <t>GRUPO AGRICOLA LOS PINOS MONTERREY SA DE CV</t>
  </si>
  <si>
    <t>VELOCI MOTORS SA DE CV</t>
  </si>
  <si>
    <t>PRODUCTOS DE LECHE SAN PABLO, S.A. DE C.V.</t>
  </si>
  <si>
    <t>MDR PHARMA SAPI DE CV</t>
  </si>
  <si>
    <t>INDUSTRIAS H24 SA DE CV</t>
  </si>
  <si>
    <t>CORPORACION BEKAX SA DE CV</t>
  </si>
  <si>
    <t>QUALIMENTOS S DE RL DE CV</t>
  </si>
  <si>
    <t>TRAMONTINA SA DE CV</t>
  </si>
  <si>
    <t>OJAI ALIMENTOS SA DE CV</t>
  </si>
  <si>
    <t>HOME TEXTILE DESIGNS SA DE CV</t>
  </si>
  <si>
    <t>GARFRUMEX S.A. DE C.V.</t>
  </si>
  <si>
    <t>REGALOS SIGLO XXI</t>
  </si>
  <si>
    <t>CEBOLLERA LA PALMA SA DE CV</t>
  </si>
  <si>
    <t>GRUPO YAXCHE SA DE CV</t>
  </si>
  <si>
    <t>FOTORAMA DE MEXICO S.A. DE C.V.</t>
  </si>
  <si>
    <t>DISTRIBUIDORA GRUPO ROSY SA DE CV</t>
  </si>
  <si>
    <t>PRODUCTORA DE ALIMENTOS MEXICANOS SA DE CV</t>
  </si>
  <si>
    <t>RODRIGUEZ ESPINOSA CARLOS GUSTAVO</t>
  </si>
  <si>
    <t>DDI BATTERIES MEXICO S DE RL DE CV</t>
  </si>
  <si>
    <t>CRISA LIBBEY MEXICO S DE RL DE CV</t>
  </si>
  <si>
    <t>SPECTRUM BRANDS DE MEXICO SA DE CV</t>
  </si>
  <si>
    <t>DISTRIBUIDORA INTERMEX SA DE CV</t>
  </si>
  <si>
    <t>PRODUCTOS ALIMENTICIOS GENEROSA SA DE CV</t>
  </si>
  <si>
    <t>DISTRIBUIDORA MEXICANA DE CITRICOS SRL DE CV</t>
  </si>
  <si>
    <t>DKT DE MEXICO SA DE CV</t>
  </si>
  <si>
    <t>BEBIDAS INTERNACIONALES BEPENSA SA DE CV</t>
  </si>
  <si>
    <t>BEAM SUNTORY MEXICO S DE RL DE CV</t>
  </si>
  <si>
    <t>GRUPO AGUAVIENTO, S.A. DE C.V.</t>
  </si>
  <si>
    <t>BARDAHL DE MEXICO S. A. DE C. V.</t>
  </si>
  <si>
    <t>SALSA TAMAZULA S.A. DE C.V.</t>
  </si>
  <si>
    <t>RB HEALTH MEXICO SA DE CV</t>
  </si>
  <si>
    <t>PLASTICOS CANTABRIA SA DE CV</t>
  </si>
  <si>
    <t>PERFUPLAZA SA DE CV</t>
  </si>
  <si>
    <t>DISTRIBUIDORA DE LA COSTA DE NAYARI T SA DE CV</t>
  </si>
  <si>
    <t>COMERC. DE PESC. Y MARISC. EL CHARA L SA DE CV</t>
  </si>
  <si>
    <t>PASTEURIZADORA JERSEY DEL NOROESTE SA</t>
  </si>
  <si>
    <t>ZAMORA SANCHEZ RAMON</t>
  </si>
  <si>
    <t>PUERTO PILOTO SA DE CV</t>
  </si>
  <si>
    <t>Vidimport SA de CV</t>
  </si>
  <si>
    <t>KTB COMERCIALIZADORA DE MEXICO S DE RL DE CV</t>
  </si>
  <si>
    <t>PLO POP SA DE CV</t>
  </si>
  <si>
    <t>ALIMENTOS SUSALIA S.A. DE C.V.</t>
  </si>
  <si>
    <t>PLASTIC TRENDS SAPI DE CV</t>
  </si>
  <si>
    <t>CVA SERVICIOS CORPORATIVOS SA DE CV</t>
  </si>
  <si>
    <t>FRUVER MEDRANO SA DE CV</t>
  </si>
  <si>
    <t>INDUSTRIAL DE LUBRICANTES CONTINENTAL SA DE CV</t>
  </si>
  <si>
    <t>MOLINOS AZTECA DE CHIAPAS S.A. DE C .V.</t>
  </si>
  <si>
    <t>METCO, S.A. DE C.V.</t>
  </si>
  <si>
    <t>HINEL S.A. DE C.V.</t>
  </si>
  <si>
    <t>ORGANIZACION REYNERA SA DE CV</t>
  </si>
  <si>
    <t>CU FOUNDATIONS SA DE CV</t>
  </si>
  <si>
    <t>COMERCIALIZADORA MACBRING SA DE CV</t>
  </si>
  <si>
    <t>GUIJOSA CANCHOLA MARCOS</t>
  </si>
  <si>
    <t>AGRILEG DE TEHUACAN SPR DE RL</t>
  </si>
  <si>
    <t>COMERCIALIZADORA ISABEL S.A. DE C.V .</t>
  </si>
  <si>
    <t>CORAL INTERNACIONAL S.A. DE C.V.</t>
  </si>
  <si>
    <t>QUALTIA ALIMENTOS OPERACIONES S DE RL DE CV</t>
  </si>
  <si>
    <t>FREUDENBERG PRODUCTOS DEL HOGAR SA DE CV</t>
  </si>
  <si>
    <t>LACTEOS INDUSTRIALIZADOS Y POSTRES DEL POTOSI SACV</t>
  </si>
  <si>
    <t>GRUPO COMERCIAL ALCO, S.A. DE C.V.</t>
  </si>
  <si>
    <t>AJEMEX SA DE CV</t>
  </si>
  <si>
    <t>FCA DE PASTAS ALIM LA AURORA SA CV</t>
  </si>
  <si>
    <t>NOVELTY CORP.DE MEXICO S.A. DE C.V.</t>
  </si>
  <si>
    <t>STAR DEL NORTE S.A. DE C.V.</t>
  </si>
  <si>
    <t>PASTEURIZADORA DE LEON S.A. DE C.V.</t>
  </si>
  <si>
    <t>INTERPEC SAN MARCOS SA</t>
  </si>
  <si>
    <t>NISSIN FOODS DE MEXICO SA DE CV</t>
  </si>
  <si>
    <t>AIRES DE CAMPO S.A. DE C.V.</t>
  </si>
  <si>
    <t>MEXICANA DE INDUSTRIAS Y MARCAS SA DE CV</t>
  </si>
  <si>
    <t>ENVASADORA LA SUPREMA SA DE CV</t>
  </si>
  <si>
    <t>AGRICOLA OGT SA DE CV</t>
  </si>
  <si>
    <t>QUASAR CAP SA DE CV</t>
  </si>
  <si>
    <t>PLATANERAMA DE MONTERREY SA DE CV</t>
  </si>
  <si>
    <t>CINSA SA DE CV</t>
  </si>
  <si>
    <t>MARINTER, SA DE C.V</t>
  </si>
  <si>
    <t>GIFAN INTERNACIONAL S. DE R.L. DE C .V.</t>
  </si>
  <si>
    <t>TC HEARTLAND MEXICO MANUFACTURA S DE RL DE CV</t>
  </si>
  <si>
    <t>GRUPO VERMEX SA DE CV</t>
  </si>
  <si>
    <t>JESSY INTERNACIONAL S.A. DE C.V.</t>
  </si>
  <si>
    <t>BROCHAS Y PRODUCTOS S. DE R.L. DE C .V.</t>
  </si>
  <si>
    <t>JACOBS DOUWE EGBERTS MX S DE RL DE CV</t>
  </si>
  <si>
    <t>VIRUTEXILKO SA DE CV</t>
  </si>
  <si>
    <t>M. T DE MEXICO S DE RL DE CV</t>
  </si>
  <si>
    <t>PRODUCTORA DE BOCADOS CARNICOS SA D E CV</t>
  </si>
  <si>
    <t>CORPORACION MILENIUM S DE RL DE CV</t>
  </si>
  <si>
    <t>NEGOCIOS REAL DE CORTEZ SA DE CV</t>
  </si>
  <si>
    <t>GRUPO COMERCIAL TABI SA DE CV</t>
  </si>
  <si>
    <t>TYSON MEXICO TRADING COMPANY S DE RL DE CV</t>
  </si>
  <si>
    <t>HOCKEY EXPORTPRINT SA DE CV</t>
  </si>
  <si>
    <t>COMERCIALIZADORA MACMA  SAPI DE CV</t>
  </si>
  <si>
    <t>DISTRIBUIDORA DE NARANJAS TAMEZ SA</t>
  </si>
  <si>
    <t>RUZ IMAGINE SA DE CV</t>
  </si>
  <si>
    <t>GRAN MARK,S.A.</t>
  </si>
  <si>
    <t>PANADIS S.A. DE C.V.</t>
  </si>
  <si>
    <t>TCL ELECTRONICS DE MEXICO S DE RL DE CV</t>
  </si>
  <si>
    <t>GOODYEAR SERVICIOS COMERCIALES S DE RL DE CV</t>
  </si>
  <si>
    <t>GRUPO FELDER FOODS SA DE CV</t>
  </si>
  <si>
    <t>DSA DISE¥OS SA DE CV</t>
  </si>
  <si>
    <t>JEANS WEST SA DE CV</t>
  </si>
  <si>
    <t>MOVIS SA DE CV</t>
  </si>
  <si>
    <t>FRESHGRAM SA DE CV</t>
  </si>
  <si>
    <t>BOTANAS Y DERIVADOS SA DE CV</t>
  </si>
  <si>
    <t>TRUPER SA DE CV</t>
  </si>
  <si>
    <t>CANADIA DISTRIBUIDORES SA DE CV</t>
  </si>
  <si>
    <t>SALSAS CASTILLOS SA DE CV</t>
  </si>
  <si>
    <t>BENJAMIN ROBLES MELLADO</t>
  </si>
  <si>
    <t>CENTRAL PLATANERA S DE RL DE CV</t>
  </si>
  <si>
    <t>TERRAFERTIL MEXICO SAPI DE CV</t>
  </si>
  <si>
    <t>PRODUCTOS LA COLINA SA DE CV</t>
  </si>
  <si>
    <t>MARINDUSTRIAS SA DE CV</t>
  </si>
  <si>
    <t>COMBE DE MEXICO S DE RL DE CV</t>
  </si>
  <si>
    <t>ALIMENTOS GOURMET PARA ANIMALES S DE RL DE CV</t>
  </si>
  <si>
    <t>ELECTRO PLUS SA DE CV</t>
  </si>
  <si>
    <t>DISTRIBUIDORA DE TEXTILES AVANTE S. A. DE C.V.</t>
  </si>
  <si>
    <t>EXCLUSIVAS EN TUXTLA SA DE CV</t>
  </si>
  <si>
    <t>ALVIDREZ TARANGO GUILLERMO</t>
  </si>
  <si>
    <t>MAKI HAUSE SA DE CV</t>
  </si>
  <si>
    <t>BINNEY &amp; SMITH MEXICO SA DE CV</t>
  </si>
  <si>
    <t>DETERGENTES Y JABONES SASIL, S.A DE C.V</t>
  </si>
  <si>
    <t>EMPACADOS SA DE CV</t>
  </si>
  <si>
    <t>DIGRIFAR SA DE CV</t>
  </si>
  <si>
    <t>SALAZAR RIVERA JOSE ALEJANDRO</t>
  </si>
  <si>
    <t>RODINIA INTERNACIONALSA DE CV</t>
  </si>
  <si>
    <t>JUGOS Y BEBIDAS DEL VALLE DE MEXICO SA DE CV</t>
  </si>
  <si>
    <t>TOALLERA POPULAR SA DE CV</t>
  </si>
  <si>
    <t>COMERCIALIZADORA AGROIND USTRIAL DEL NORTE SA DE CV</t>
  </si>
  <si>
    <t>JOHNSON CONTROLS ENTERPRISES MEXICO S DE RL DE CV</t>
  </si>
  <si>
    <t>JESUS CHAVEZ ANGUIANO</t>
  </si>
  <si>
    <t>GRUPO PREMIER DE OCCIDENTE SA DE CV</t>
  </si>
  <si>
    <t>TEQUILA CENTINELA, S.A. DE C.V.</t>
  </si>
  <si>
    <t>CONSORCIO DIPCEN SA DE CV</t>
  </si>
  <si>
    <t>AGROINDUSTRIAS PEIMBERT SA DE CV</t>
  </si>
  <si>
    <t>HARINERA DE YUCATAN SA DE CV</t>
  </si>
  <si>
    <t>COMERCIALIZADORA CANTU SA DE CV</t>
  </si>
  <si>
    <t>SALES DEL VALLE SA DE CV</t>
  </si>
  <si>
    <t>MEGA ALIMENTOS S.A. DE C.V.</t>
  </si>
  <si>
    <t>AGROPECUARIA EL AVION S DE PR DE RL</t>
  </si>
  <si>
    <t>MINSA COMERCIAL SA DE CV</t>
  </si>
  <si>
    <t>CARNES SELECTAS TANGAMANGA S.A DE C .V.</t>
  </si>
  <si>
    <t>TRANSPORTES UNIDOS DE MORELOS SA DE CV</t>
  </si>
  <si>
    <t>CARREDANA DE EMPAQUES, S.A. DE C.V.</t>
  </si>
  <si>
    <t>MERCANTIL CUAUTITLAN SA DE CV</t>
  </si>
  <si>
    <t>EMPACADORA BONNACARNE SA DE CV</t>
  </si>
  <si>
    <t>LECHE 19 DIECINUEVE HERMANOS S.A. D E C.V.</t>
  </si>
  <si>
    <t>KOBLENZ ELECTRICA SA DE CV</t>
  </si>
  <si>
    <t>SAUCEDO JAIME GUILLERMO JAVIER</t>
  </si>
  <si>
    <t>HELEN OF TROY DE MEXICO S DE RL DE CV</t>
  </si>
  <si>
    <t>PRODUCTOS DE UVA S.A DE C.V.</t>
  </si>
  <si>
    <t>Distribuidora Simplot de Alimentos Congelados</t>
  </si>
  <si>
    <t>CUBETAS Y BA¥OS S.A. DE C.V.</t>
  </si>
  <si>
    <t>PATRONOUM S.A DE C.V</t>
  </si>
  <si>
    <t>BRITISH AMERICAN TOBACCO MEXICO COM ERCIAL SA</t>
  </si>
  <si>
    <t>GRUPO CONVERMEX S.A. DE C.V.</t>
  </si>
  <si>
    <t>OQUIMEX SA DE CV</t>
  </si>
  <si>
    <t>GRUPO TAIFELD'S SA DE CV</t>
  </si>
  <si>
    <t>CENTURY SNACKS OWNER MX1 S DE RL DE CV</t>
  </si>
  <si>
    <t>BACHOCO COMERCIAL SA DE CV</t>
  </si>
  <si>
    <t>REGIOMONTANA DE COLCHONES Y MUEBLES ,S.A. DE C.V.</t>
  </si>
  <si>
    <t>AMERICAN BEEF SA DE CV</t>
  </si>
  <si>
    <t>HARINAS SA DE CV</t>
  </si>
  <si>
    <t>PRODUCTOS INFANTILES SELECTOS, S.A. DE C.V.</t>
  </si>
  <si>
    <t>TAURUS - ESPA¥A SA DE CV</t>
  </si>
  <si>
    <t>INDUSTRIAS FERRE S.A DE C.V.</t>
  </si>
  <si>
    <t>DISTRIBUIDORA MEXIFRUTAS SA DE CV</t>
  </si>
  <si>
    <t>COMPA¥IA GENERAL DE VIVERES S.A. de C.V.</t>
  </si>
  <si>
    <t>COMERCIALIZADORA DE POLLOS Y CARNES YESAKI, S.A. DE C.V.</t>
  </si>
  <si>
    <t>PRODUCTOS DASS SA DE CV</t>
  </si>
  <si>
    <t>PRONATURAL DE CAMPO S DE RL DE CV</t>
  </si>
  <si>
    <t>FRITURAS Y CONDIMENTOS SELECTOS SA DE CV</t>
  </si>
  <si>
    <t>AGUACATES JR S.A DE C.V</t>
  </si>
  <si>
    <t>PRODUCTOS CHATA SA DE CV</t>
  </si>
  <si>
    <t>GRUPO PISCIMEX SA DE CV</t>
  </si>
  <si>
    <t>CREACIONES D'SEN,S.A. DE C.V.</t>
  </si>
  <si>
    <t>WALFORT INTERNACIONAL,S.A. DE C.V.</t>
  </si>
  <si>
    <t>LOZANO AYALA FRANCISCA</t>
  </si>
  <si>
    <t>GONZALEZ AVILES JESUS GUILLERMO</t>
  </si>
  <si>
    <t>OSCAR MORALES LOPEZ</t>
  </si>
  <si>
    <t>PACTIV FOODSERVICE MEXICO S DE RL DE CV</t>
  </si>
  <si>
    <t>CHOBANI MEXICO S DE RL DE CV</t>
  </si>
  <si>
    <t>CESARFER S.A. DE C.V.</t>
  </si>
  <si>
    <t>GRUPO INDUSTRIAL CREYSI S.A. DE C.V .</t>
  </si>
  <si>
    <t>TOROSQUI SA DE CV</t>
  </si>
  <si>
    <t>PASTAS MOLISABA, S.A. DE C.V.</t>
  </si>
  <si>
    <t>COALIMEXSA ALIMENTOS MEXICANOS SA D E CV</t>
  </si>
  <si>
    <t>DISTRIBUIDORA CORBER SA DE CV</t>
  </si>
  <si>
    <t>GRUPO COMERCIAL DISEVEN S DE RL DE CV</t>
  </si>
  <si>
    <t>GRUPO SAN JACINTO SA E CV</t>
  </si>
  <si>
    <t>PRODUCTOS LACTEOS POMAS S.A. DE C.V .</t>
  </si>
  <si>
    <t>MU¥IZ CASTRO JUAN</t>
  </si>
  <si>
    <t>LINGERIX SA DE CV</t>
  </si>
  <si>
    <t>MG ALIMENTOS SA DE CV</t>
  </si>
  <si>
    <t>COMERCIAL DOS COSTAS SA DE CV</t>
  </si>
  <si>
    <t>HORTALIZAS Y MELONES DE PAILA SPR DE R.L.</t>
  </si>
  <si>
    <t>IMPULSORA DE NEGOCIOS SAZZ SA DE CV</t>
  </si>
  <si>
    <t>UNIVERSAL WIPES SA DE CV</t>
  </si>
  <si>
    <t>VESTIDOS PINKY S.A.</t>
  </si>
  <si>
    <t>GONHERRPLAST SA DE CV</t>
  </si>
  <si>
    <t>LATAMEL DISTRIBUIDORA S DE RL DE CV</t>
  </si>
  <si>
    <t>GRUPO TEXTIL PIMA S.A. DE C.V</t>
  </si>
  <si>
    <t>CALKINS BURKE AND ZANNIE DE MEXICO, S.A. DE C.V.</t>
  </si>
  <si>
    <t>EXCLUSIVAS JADE INTERNACIONAL, S.A. DE C.V.</t>
  </si>
  <si>
    <t>MENDOZA JIMENEZ CARLOS</t>
  </si>
  <si>
    <t>GONHERMEX S.A. DE C.V.</t>
  </si>
  <si>
    <t>COMERCIALIZADORA MAYORISTA DEL GOLF O SA DE CV</t>
  </si>
  <si>
    <t>EMPACADORA LA MERCED SA DE CV</t>
  </si>
  <si>
    <t>BLANCOS PILESO,S.A. DE C.V.</t>
  </si>
  <si>
    <t>ALTA EXTRACCION SA DE CV</t>
  </si>
  <si>
    <t>CORPORACION WEGAR SA DE CV</t>
  </si>
  <si>
    <t>TRAMONTINA DE MEXICO SA DE CV</t>
  </si>
  <si>
    <t>HAPPY TEE SA DE CV</t>
  </si>
  <si>
    <t>AGROINDUSTRIAS MARMA SA DE CV</t>
  </si>
  <si>
    <t>INDUSTRIAS LAVIN DE MEXICO SA DE CV</t>
  </si>
  <si>
    <t>SOCIEDAD DE PRODUCTORES DE LOS HERMANOS WIEBE SPR DE RL DE CV</t>
  </si>
  <si>
    <t>COMERCIALIZADORA NAREMO S.A. DE C.V .</t>
  </si>
  <si>
    <t>MEXICANA DE LUBRICANTES SA DE CV</t>
  </si>
  <si>
    <t>VELADORAS AZUCENA S DE RL DE CV</t>
  </si>
  <si>
    <t>PROVEEDORA SEMILLAS DE MEXICOSPR DE RL</t>
  </si>
  <si>
    <t>SIGMA ALIMENTOS COMERCIAL S.A. DE C .V. CARNES FRISA</t>
  </si>
  <si>
    <t>AGROPRODUCTORA R&amp;R SA DE CV</t>
  </si>
  <si>
    <t>EMPACADORA ROSARITO S.A DEC.V</t>
  </si>
  <si>
    <t>DETERGENTES Y JABONES SASIL SA PI DE CV</t>
  </si>
  <si>
    <t>COMESTIBLES  MALDONADO,S.A. DE C.V.</t>
  </si>
  <si>
    <t>INTIME LINGERIE S. DE R. L.</t>
  </si>
  <si>
    <t>COMERCIALIZADOR CBR SA DE CV</t>
  </si>
  <si>
    <t>VOLCLAY DE MXICO S.A. DE C.V.</t>
  </si>
  <si>
    <t>TOWEL SA DE CV</t>
  </si>
  <si>
    <t>NATURA ALIMENTOS S.A DE C.V</t>
  </si>
  <si>
    <t>THE FARM FOOD COMPANY SA DE CV</t>
  </si>
  <si>
    <t>ZAZUETA BORBOA JORGE LUIS</t>
  </si>
  <si>
    <t>INDUSTRIAS DK SA DE CV</t>
  </si>
  <si>
    <t>ASAKE PRODUCE S.P.R DE R.L</t>
  </si>
  <si>
    <t>BIMBO, S.A. DE C.V.</t>
  </si>
  <si>
    <t>UNIFOODS, S.A. DE C.V.</t>
  </si>
  <si>
    <t>LINDT &amp; SPRUNGLI DE MEXICO SA DE CV</t>
  </si>
  <si>
    <t>ALIMENTOS KAY SA DE CV</t>
  </si>
  <si>
    <t>INTERMEDIADORA DE FRUTAS S.A.DE C.V .</t>
  </si>
  <si>
    <t>COMPA¥IA COMERCIALIZADORA PRODIN CE NTRO SA CV</t>
  </si>
  <si>
    <t>DISTRIBUIDORA Y COMERCIALIZADORA SA N ANDRES SA DE CV</t>
  </si>
  <si>
    <t>Henkel Capital, S.A. de C.V</t>
  </si>
  <si>
    <t>NATURASOL S.A. DE C.V.</t>
  </si>
  <si>
    <t>Comercializadora Copamex SA de CV</t>
  </si>
  <si>
    <t>DISTRIBUIDORA ARCA CONTINENTAL S DE RL DE CV</t>
  </si>
  <si>
    <t>SABORMEX SAPI DE CV</t>
  </si>
  <si>
    <t>SUPER LUSTRE, S.A. DE C.V.</t>
  </si>
  <si>
    <t>SC JOHNSON S DE RL DE CV</t>
  </si>
  <si>
    <t>LA NUIT S.A. DE C.V.</t>
  </si>
  <si>
    <t>COMERCIAL HISPANA, S DE RL</t>
  </si>
  <si>
    <t>DETERGENTES Y JABONES SASIL SAPI SA DE CV</t>
  </si>
  <si>
    <t>HR BRANDS LATAM S DE RL DE CV</t>
  </si>
  <si>
    <t>IMPULSORA CAMPIRANO SA DE CV</t>
  </si>
  <si>
    <t>Pe¤afiel Bebidas SA de CV</t>
  </si>
  <si>
    <t>PODER GERMINADO SA DE CV</t>
  </si>
  <si>
    <t>PURATOS DE MEXICO S.A. DE C.V.</t>
  </si>
  <si>
    <t>RODRIGUEZ SILVA RUBEN</t>
  </si>
  <si>
    <t>COMERCIALIZADORA INTCOMEX SA DE CV</t>
  </si>
  <si>
    <t>AQUA BEAUTY SA DE CV</t>
  </si>
  <si>
    <t>SUGAR FOODS DE MEXICO S. DE R.L. DE C.V.</t>
  </si>
  <si>
    <t>BRIDGESTONE DE MEXICO SA DE CV</t>
  </si>
  <si>
    <t>HALEON CONSUMER HEALTHCARE MEXICO S DE RL DE CV</t>
  </si>
  <si>
    <t>GRUPO KARYCY S.A. DE C.V.</t>
  </si>
  <si>
    <t>COMERCIALIZADORA GIRANDO IDEAS SA D E CV</t>
  </si>
  <si>
    <t>KLICHES MONTERREY SA DE CV</t>
  </si>
  <si>
    <t>GS ALIMENTOS DE MEXICO SA DE CV</t>
  </si>
  <si>
    <t>PUIG MEXICO S.A.DEC.V.</t>
  </si>
  <si>
    <t>UNION DE GANADEROS LECHEROS DE JURA EZ S.A. DE C.V.</t>
  </si>
  <si>
    <t>CREMERIA SAN JOSE SA DE CV</t>
  </si>
  <si>
    <t>REFRESQUERA INTERNACIONAL,S.A. DE C .V.</t>
  </si>
  <si>
    <t>LEDVANCE SA DE CV</t>
  </si>
  <si>
    <t>GRUPO FUNSAM SA CV</t>
  </si>
  <si>
    <t>OCEAN BLUE SEAFOOD SA DE CV</t>
  </si>
  <si>
    <t>GRUPO ACUARIO LOMAS SA DE CV</t>
  </si>
  <si>
    <t>TIA OFILIA SAPI DE CV</t>
  </si>
  <si>
    <t>MAR BRAN SA DE CV</t>
  </si>
  <si>
    <t>CEYS MEXICANA S.A. DE C.V.</t>
  </si>
  <si>
    <t>LABORATORIOS PISA SA DE CV</t>
  </si>
  <si>
    <t>Laboratorios Griffith de Mexico</t>
  </si>
  <si>
    <t>MEDFRUT S.A DE C.V</t>
  </si>
  <si>
    <t>VINUX DE MEXICO SA DE CV</t>
  </si>
  <si>
    <t>MARTIN ALFREDO AVENDA¥O OLGUIN</t>
  </si>
  <si>
    <t>AYVI, SA. DE C.V.</t>
  </si>
  <si>
    <t>LAFON LAUNAY COSMETICS SA DE CV</t>
  </si>
  <si>
    <t>HASBRO DE MEXICO</t>
  </si>
  <si>
    <t>AGRICOLA ISBAR SPR DE RL</t>
  </si>
  <si>
    <t>CAMISAS IMPERIAL SA DE CV</t>
  </si>
  <si>
    <t>QUALITY PABISAN SA DE CV</t>
  </si>
  <si>
    <t>APOLO TEXTIL SA DE CV</t>
  </si>
  <si>
    <t>LCARE MEXICANA S DE R.L. DE C.V.</t>
  </si>
  <si>
    <t>NATURASOL S A DE CV</t>
  </si>
  <si>
    <t>NEWELL BRANDS DE MEXICO SA DE CV</t>
  </si>
  <si>
    <t>PRODUCTOS SELECTOS EMPACADOS CRU-BA SA DE CV</t>
  </si>
  <si>
    <t>CARNES G SA DE CV</t>
  </si>
  <si>
    <t>SPRAYLAB SA DE CV</t>
  </si>
  <si>
    <t>LACTEOS Y HELADOS SAN MIGUEL SA DE CV</t>
  </si>
  <si>
    <t>COMERGALV SA DE CV</t>
  </si>
  <si>
    <t>ENVASADORAS DE AGUAS EN MEXICO S DE RL DE CV</t>
  </si>
  <si>
    <t>DESDE EL CORAZON DEL FRUTO SA DE CV</t>
  </si>
  <si>
    <t>CIA SHERWIN WILLIAMS SA DE CV</t>
  </si>
  <si>
    <t>JUAN FRANCISCO MARTINEZ MARTINEZ</t>
  </si>
  <si>
    <t>IMPULSORA COMERCIAL CAVI SA DE CV</t>
  </si>
  <si>
    <t>SALCHICHONERIA GUNTER SA DE CV</t>
  </si>
  <si>
    <t>MEXEX MEXICANA DE IMPORTACIONES Y E XPORTACION</t>
  </si>
  <si>
    <t>GRUPO HB PS S.A. DE C.V.</t>
  </si>
  <si>
    <t>ALIMENTOS SR NATURAL SAPI DE CV</t>
  </si>
  <si>
    <t>LOCOCHONES SA DE CV</t>
  </si>
  <si>
    <t>DE LA CRUZ TORRES YESENIA</t>
  </si>
  <si>
    <t>MAGANA GARCIA CLAUDIA</t>
  </si>
  <si>
    <t>PRODUCTOS EL PATO VALVITA SAPI DE C</t>
  </si>
  <si>
    <t>JOY TECNICA PLASTICA SA DE CV</t>
  </si>
  <si>
    <t>La Anita Condimentos y Salsas S.A. de C. V</t>
  </si>
  <si>
    <t>SALUTARE SA DE CV</t>
  </si>
  <si>
    <t>JARAMILLO BAHENA LEOBARDO</t>
  </si>
  <si>
    <t>YOREME CORTES Y PROCESOS,S.A. DE C. V.</t>
  </si>
  <si>
    <t>Unidal Mexico Sa de Cv</t>
  </si>
  <si>
    <t>ALTAMIRANO E IZAGUIRRE DISTRIBUIDO SA CV</t>
  </si>
  <si>
    <t>YOUNGEST SA DE CV</t>
  </si>
  <si>
    <t>MIDEA MEXICO S DE RL DE CV</t>
  </si>
  <si>
    <t>TORTIREGIO SA DE CV</t>
  </si>
  <si>
    <t>Laboratorio Boniquet de Mxico S.A. de C.V.</t>
  </si>
  <si>
    <t>IBALMA SA DE CV</t>
  </si>
  <si>
    <t>MAREL DE MEXICO S.A. DE C.V.</t>
  </si>
  <si>
    <t>GRUPO FRUCAT SA DE CV</t>
  </si>
  <si>
    <t>INGRAM MICRO MEXICO S.A DE C.V</t>
  </si>
  <si>
    <t>INTERDELI SAPI DE CV</t>
  </si>
  <si>
    <t>TERANA S.A.</t>
  </si>
  <si>
    <t>ROYAL COUNTY SA DE CV</t>
  </si>
  <si>
    <t>FLORES IXTAPAN S DE RL DE CV</t>
  </si>
  <si>
    <t>MENITA COMERCIAL OCEANICA SA DE CV</t>
  </si>
  <si>
    <t>CLOROX DE MEXICO S DE RL DE CV</t>
  </si>
  <si>
    <t>LACTOMARK SA DE CV</t>
  </si>
  <si>
    <t>SERVICIOS MITIK ONE SA DE CV</t>
  </si>
  <si>
    <t>IMPORTACIONES DELICIOSAS S.A. DE C. V.</t>
  </si>
  <si>
    <t>LABORATORIOS LACAMI SA DE CV</t>
  </si>
  <si>
    <t>SPORTECH SA DE CV</t>
  </si>
  <si>
    <t>ALIMENTOS PROFUSA S.A. DE C.V.</t>
  </si>
  <si>
    <t>Productos Alimenticios Super S. de R.L. de C.</t>
  </si>
  <si>
    <t>ESPECIES ALIMENTICIAS DEL GOLFO SA DE CV</t>
  </si>
  <si>
    <t>DISTRIBUIDORA DE MOLES SAN JORGE SA D CV</t>
  </si>
  <si>
    <t>PRODUCTOS CAREY SA DE CV</t>
  </si>
  <si>
    <t>TEKA MEXICANA, S.A. DE C.V.</t>
  </si>
  <si>
    <t>EMPACOND SA DE CV</t>
  </si>
  <si>
    <t>MOET HENNESSY DE MEXICO S.A. DE C.V .</t>
  </si>
  <si>
    <t>MGA ENTERTAIMENT MEXICO S DE RL DE</t>
  </si>
  <si>
    <t>PRODUCTOS PECUARIOS ESPECIALIZADOS SA DE CV</t>
  </si>
  <si>
    <t>ALTO PERFIL ALIMENTARIO SA DE CV</t>
  </si>
  <si>
    <t>ALVAREZ QUIROZ FLOR DE MARIA</t>
  </si>
  <si>
    <t>FARMACEUTICA PH SA DE CV</t>
  </si>
  <si>
    <t>ALIMENTOS DEL ALTIPLANO S DE PR DE RL</t>
  </si>
  <si>
    <t>DISE¥OS DE MUEBLES ANFFER S.A. DE C .V.</t>
  </si>
  <si>
    <t>PESCADOS Y MARISCOS MIRAMAR, S.A. D E C.V.</t>
  </si>
  <si>
    <t>INDUSTRIAS TEBI, S. A. DE C. V.</t>
  </si>
  <si>
    <t>ALIMENTOS SAMANIEGO SA DE CV</t>
  </si>
  <si>
    <t>EMPACADORA THERBAL S.A. DE C.V.</t>
  </si>
  <si>
    <t>RUVALCABA CASTELLANO JORGE</t>
  </si>
  <si>
    <t>NATURESWEET COMERCIALIZADORA S DE RL DE CV</t>
  </si>
  <si>
    <t>TROPICLINK S.R.L DE C.V</t>
  </si>
  <si>
    <t>The Klass Company SA de CV</t>
  </si>
  <si>
    <t>PLASTICOS LA ARDILLA SA DE CV</t>
  </si>
  <si>
    <t>EMPACADORA KACER, S.A. DE C.V.</t>
  </si>
  <si>
    <t>BEDACOM S.A DE C.V</t>
  </si>
  <si>
    <t>COSMETICA SA DE CV</t>
  </si>
  <si>
    <t>CARGILL MEAT SOLUTIONS CORPORATION</t>
  </si>
  <si>
    <t>MARCO TIRADO GABILONDO</t>
  </si>
  <si>
    <t>LABORATORIOS LE ROY S.A. DE C.V.</t>
  </si>
  <si>
    <t>EATICS SA DE CV</t>
  </si>
  <si>
    <t>POLIMEROS ADHESIVOS Y DERIVADOS SA DE CV</t>
  </si>
  <si>
    <t>GRUPO OLEO LAB SA DE CV</t>
  </si>
  <si>
    <t>AGROINDUSTRIAS QUESADA S DE RL DE CV</t>
  </si>
  <si>
    <t>ORGANIZACION LIBER SA DE CV</t>
  </si>
  <si>
    <t>CORPORACION GAIRET SA DE CV</t>
  </si>
  <si>
    <t>DISTRIBUIDORA DE HUEVO BAJA CALIFOR NIA SA DE</t>
  </si>
  <si>
    <t>INDUSTRIAL TECNICA DE PINTURAS S A DE C V</t>
  </si>
  <si>
    <t>IMPORTACIONES HNOS CANTU SA DE CV</t>
  </si>
  <si>
    <t>SANTUL HERRAMIENTA SA DE CV</t>
  </si>
  <si>
    <t>COMMERSHIP GROUP SA DE CV</t>
  </si>
  <si>
    <t>COCO COLIMA SA DE CV</t>
  </si>
  <si>
    <t>TAPETES Y PISOS MODERNOS SA DE CV</t>
  </si>
  <si>
    <t>MGP SUPPLIER SA DE CV</t>
  </si>
  <si>
    <t>COMERCIALIZADORA Y ABASTECEDORA MINI PRECIOS SA DE C V</t>
  </si>
  <si>
    <t>ORTEGA AGUIRRE MIGUEL</t>
  </si>
  <si>
    <t>LABORATORIOS EXPANSCIENCE MEXICO,S. A. DE C.V.</t>
  </si>
  <si>
    <t>RED BULL S DE RL DE CV</t>
  </si>
  <si>
    <t>INDUSTRIAS ILSA FRIGO SA DE CV</t>
  </si>
  <si>
    <t>LABORATORIOS AVANT S.A. DE C.V.</t>
  </si>
  <si>
    <t>JANEL S.A. DE C.V.</t>
  </si>
  <si>
    <t>MAPED SILCO, S.A. DE C.V.</t>
  </si>
  <si>
    <t>FGX LATIN AMERICA S DEL RL DE CV</t>
  </si>
  <si>
    <t>CE NORTH AMERICA LLC</t>
  </si>
  <si>
    <t>INNOVACIONES SMART LINCE S DE RL DE CV</t>
  </si>
  <si>
    <t>Cera y Forma SA de CV</t>
  </si>
  <si>
    <t>OPERADORA GILA S.A. DE C.V.</t>
  </si>
  <si>
    <t>SUDAMERICANA DE PRODUCTOS ESCOLARES Y DE OFIC</t>
  </si>
  <si>
    <t>POLLOS VIDAURRI, S.A. DE C.V.</t>
  </si>
  <si>
    <t>SOLANUM S. DE R.L. DE C.V.</t>
  </si>
  <si>
    <t>PERFETTI VAN MALLE MEXICO SA DE CV</t>
  </si>
  <si>
    <t>HANSEATIK SA DE CV</t>
  </si>
  <si>
    <t>LABORATORIOS ZELL SA DE CV</t>
  </si>
  <si>
    <t>GRUPO CORPORATIVO PAPELERA SA DE CV</t>
  </si>
  <si>
    <t>INDUSTRIA AGRICOLA CARREDANA S.A. D E C.V.</t>
  </si>
  <si>
    <t>MOBI MODA PARA EL HOGAR  SA DE CV</t>
  </si>
  <si>
    <t>INDUSTRIAS TUK SA DE CV</t>
  </si>
  <si>
    <t>GRUPO UNITOPS.A. DE C.V.</t>
  </si>
  <si>
    <t>IMPORT A&amp;C SA DE CV</t>
  </si>
  <si>
    <t>GARCIA GONZALEZ LUIS EDUARDO</t>
  </si>
  <si>
    <t>ONUS COMERCIAL SA DE CV</t>
  </si>
  <si>
    <t>DAVATTA GROUP SAPI DE CV</t>
  </si>
  <si>
    <t>HONGOS DE MEXICO S.A. DE C.V</t>
  </si>
  <si>
    <t>PROVEEDOR DE SOLUCIONES COYMAN</t>
  </si>
  <si>
    <t>PRODUCTOS CHACHITOS SA DE CV</t>
  </si>
  <si>
    <t>TUTSI SA DE CV</t>
  </si>
  <si>
    <t>NICO DE MEXICO SA DE CV</t>
  </si>
  <si>
    <t>EVA GREEN SA DE CV</t>
  </si>
  <si>
    <t>DELIPRIME ALIMENTO S.A DE C.V</t>
  </si>
  <si>
    <t>INDUSTRIAS OVARB S.A. DE C.V.</t>
  </si>
  <si>
    <t>PROMAQUILA DE COCULA S.A. DE C.V.</t>
  </si>
  <si>
    <t>JS JJJ SA DE CV</t>
  </si>
  <si>
    <t>COMPA¥IA LA CENTRAL SA DE CV</t>
  </si>
  <si>
    <t>perla</t>
  </si>
  <si>
    <t>LEVI STRAUSS DE MEXICO SA DE CV</t>
  </si>
  <si>
    <t>COMERCIALIZADORA INTEGRAL DE BELLEZ A S.A. C.V</t>
  </si>
  <si>
    <t>TEQUILERA CORRALEJO SA DE CV</t>
  </si>
  <si>
    <t>PROVEEDORA NADER SA DE CV</t>
  </si>
  <si>
    <t>SYBEL S. A. DE C. V.</t>
  </si>
  <si>
    <t>TOTAL LOOK SA DE CV</t>
  </si>
  <si>
    <t>RANCHO AGROPECUARIO RAMADA SA DE CV</t>
  </si>
  <si>
    <t>HERSHEY MEXICO SA DE CV</t>
  </si>
  <si>
    <t>SCHREIBER MXICO SA DE CV</t>
  </si>
  <si>
    <t>LINARES Y TALANCON FERNANDO</t>
  </si>
  <si>
    <t>TR DERIVADOS DE MAIZ SA DE CV</t>
  </si>
  <si>
    <t>REPRESENTACIONES NYJISA SA de CV</t>
  </si>
  <si>
    <t>FABRICAS SELECTAS DEL CENTRO SA DE</t>
  </si>
  <si>
    <t>GRUPO CREA AK S DE RL DE CV</t>
  </si>
  <si>
    <t>COLECCION INTIMA S.A. DE C.V.</t>
  </si>
  <si>
    <t>GRESMEX SA DE CV</t>
  </si>
  <si>
    <t>CHAPA INDUSTRIAS SA DE CV</t>
  </si>
  <si>
    <t>ALIMENTOS AL PUNTO SA DE CV</t>
  </si>
  <si>
    <t>Margen Aroma y Desarrollo SA de CV</t>
  </si>
  <si>
    <t>OFFICE PRODUCTS AND PERIPHERIALS SA CV</t>
  </si>
  <si>
    <t>ALUM STAR S.A. DE C.V.</t>
  </si>
  <si>
    <t>CONOS PARA NIEVE PURITY SA DE CV</t>
  </si>
  <si>
    <t>GRANJAS CARROLL DE MEXICO S DE RL D CV</t>
  </si>
  <si>
    <t>GENERAL DE SOLUBLES SA</t>
  </si>
  <si>
    <t>GIPSYINT DE MEXICO SA DE CV</t>
  </si>
  <si>
    <t>MEGO IMPORTACIONES, S.A. DE C.V.</t>
  </si>
  <si>
    <t>HACES DE UNANUE JOSE ALBERTO</t>
  </si>
  <si>
    <t>REPUBLIC NAIL SA DE CV</t>
  </si>
  <si>
    <t>HAPPY FLOWER MEXICANA,S.A.C.V.</t>
  </si>
  <si>
    <t>CANOFIL S.A. DE C.V.</t>
  </si>
  <si>
    <t>OXAL S.A. de C.V.</t>
  </si>
  <si>
    <t>MONTEVERDE CONGELADOS SA DE CV</t>
  </si>
  <si>
    <t>GRUPO JMG S.A. DE C.V.</t>
  </si>
  <si>
    <t>WENDYS FRUITS &amp; BEGGIES FARM SA DE CV</t>
  </si>
  <si>
    <t>GLICERIDOS Y DERIVADOS SA DE CV</t>
  </si>
  <si>
    <t>SAFLOSA INDUSTRIA REAL S.A. DE C.V.</t>
  </si>
  <si>
    <t>BODEGAS SANTO TOMAS SA DE CV</t>
  </si>
  <si>
    <t>EMOCIONES INTIMAS S.A. DE C.V.</t>
  </si>
  <si>
    <t>MAYWARE S.A. DE C.V.</t>
  </si>
  <si>
    <t>PARAMOUNT FARMS MEXICO S DE RL DE C V</t>
  </si>
  <si>
    <t>Kenney Manufacturing Mexico S de RL de CV</t>
  </si>
  <si>
    <t>ALIMENTOS KOWI,S.A.DE C.V.</t>
  </si>
  <si>
    <t>PRODUCTOS MEDELLIN SA DE CV</t>
  </si>
  <si>
    <t>INTELIGENCIA COMERCIAL Y DE MERCADO SA DE CV</t>
  </si>
  <si>
    <t>VALYGRA SA DE CV</t>
  </si>
  <si>
    <t>GOGA FARMACEUTICA SA DE CV</t>
  </si>
  <si>
    <t>ALIMENTOS TRES G SA DE CV</t>
  </si>
  <si>
    <t>SALCHICHAS Y JAMONES DE MEXICO SA D</t>
  </si>
  <si>
    <t>SERVICIOS INTERNACIONALES DE COMERC IO SA DE CV</t>
  </si>
  <si>
    <t>CORPORACION COSMETICA MEXICANA SA DE CV</t>
  </si>
  <si>
    <t>WEBER STEPHEN PRODUCTS SA DE CV</t>
  </si>
  <si>
    <t>PEPSICO STRAUSS FRESH DIPS &amp; SPREAD S MEXICO S</t>
  </si>
  <si>
    <t>SINBIOTIK PHARMA SA DE CV</t>
  </si>
  <si>
    <t>HOUSEHOLD EXPRESS SA DE CV</t>
  </si>
  <si>
    <t>INDUSTRIAS MAQUIN, SA DE CV</t>
  </si>
  <si>
    <t>LA RISUENA, S.A. DE C.V.</t>
  </si>
  <si>
    <t>ARENA Y COMPA¥IA SA DE CV</t>
  </si>
  <si>
    <t>EXEL DE MONTERREY SA DE CV</t>
  </si>
  <si>
    <t>EMPACADORA EL FRESNO S.A. DE C.V.</t>
  </si>
  <si>
    <t>TECNO BROST LINE SA DE CV</t>
  </si>
  <si>
    <t>COMPANIA INTERNACIONAL COMERCIO SAP I CV</t>
  </si>
  <si>
    <t>SARA COSMETICS SA DE CV</t>
  </si>
  <si>
    <t>DISTRIBUIDORA DON GUSTAVO SA DE CV</t>
  </si>
  <si>
    <t>POLISIGMA SA</t>
  </si>
  <si>
    <t>UNIVERSAL WIPES S.A. DE C.V.</t>
  </si>
  <si>
    <t>TENIS Y SANDALIAS, S.A. DE C.V.</t>
  </si>
  <si>
    <t>STEREN PRODUCTO EMPACADO,S.A. DE C. V.</t>
  </si>
  <si>
    <t>McCain Mexico S.A. de C.V.</t>
  </si>
  <si>
    <t>EL YUCATECO SALSAS Y CONDIMENTOS S. A. DE C.V.</t>
  </si>
  <si>
    <t>GRUPO COMERCIAL MODERMO SA DE CV</t>
  </si>
  <si>
    <t>SINAX CORPORATION SA DE CV</t>
  </si>
  <si>
    <t>INDUSTRIAL LA FAMA SA DE CV</t>
  </si>
  <si>
    <t>Conveniencia Internacional SA DE CV</t>
  </si>
  <si>
    <t>COHEVI GLOBAL MARKET SA DE CV</t>
  </si>
  <si>
    <t>LAKE MICHIGAN FEATHERS AND DOWN S.A DE C.V.</t>
  </si>
  <si>
    <t>DIGRIMEX SA DE CV</t>
  </si>
  <si>
    <t>CERVEZA MINERVA  SA DE CV</t>
  </si>
  <si>
    <t>AGROCARICA SA DE CV</t>
  </si>
  <si>
    <t>BEST CONSUMER DE MEXICO SA DE CV</t>
  </si>
  <si>
    <t>COLLINS CO LTD</t>
  </si>
  <si>
    <t>HBS DELLI RETAIL SA DE CV</t>
  </si>
  <si>
    <t>FOOD SPECIALITIES DE MEXICO SA DE C</t>
  </si>
  <si>
    <t>PRODUCTOS ARAMO S DE RL DE CV</t>
  </si>
  <si>
    <t>SEAMLESS GLOBAL SOLUTIONS SA DE CV</t>
  </si>
  <si>
    <t>DART DE MEXICO S DE RL DE CV</t>
  </si>
  <si>
    <t>ANTIBIOTICOS DE MEXICO SA DE CV</t>
  </si>
  <si>
    <t>NOTCO S DE RL DE CV</t>
  </si>
  <si>
    <t>BIOLOGIC GROUP SA DE CV</t>
  </si>
  <si>
    <t>OMRON HEALTHCARE MEXICO SA DE CV</t>
  </si>
  <si>
    <t>NATUREGANIX SAPI DE CV</t>
  </si>
  <si>
    <t>SALCHICHAS Y JAMONES DE MEXICO SA D E CV</t>
  </si>
  <si>
    <t>CAFE TOSTADO DE EXPORTACION SA DE CV</t>
  </si>
  <si>
    <t>GLOBAL LICENSE STICHD GROUP MEXICO SA DE CV</t>
  </si>
  <si>
    <t>BASITEX SA DE CV</t>
  </si>
  <si>
    <t>LIFE WORKS TC MX SA DE CV</t>
  </si>
  <si>
    <t>SEDANO BANNINGER ALEJANDRA</t>
  </si>
  <si>
    <t>DATILERA DEL DESIERTO S DE RL DE CV</t>
  </si>
  <si>
    <t>INDUSTRIAS UNIDAS DE PIEL S.A. DE C .V.</t>
  </si>
  <si>
    <t>CAFES ESPECIALIZADOS Y SUSTENTABLES DEL SURESTE SA DE CV</t>
  </si>
  <si>
    <t>LA IDEAL DE MEXICO, S.A. DE C.V.</t>
  </si>
  <si>
    <t>comercilizadora de frutas del norte sa de cv</t>
  </si>
  <si>
    <t>DISTRIBUIDORA DE LA ROSA S.A DE C.V</t>
  </si>
  <si>
    <t>DULCERIA ITALIANA S. DE R.L. DE C.V .</t>
  </si>
  <si>
    <t>HOLATINA S.A. DE C.V.</t>
  </si>
  <si>
    <t>REIVAX INTERNACIONAL SA DE CV</t>
  </si>
  <si>
    <t>FRITURAS VALLECANO SA DE CV</t>
  </si>
  <si>
    <t>ITALIAN GROUPE SA DE CV</t>
  </si>
  <si>
    <t>GIEM GRUPO IMPORTADOR Y EXPORTAD OR MEXICANO SA DE CV</t>
  </si>
  <si>
    <t>GRUPO COFRA SA DE CV</t>
  </si>
  <si>
    <t>COMERCIALIZADORA FRAGOLA SA DE CV</t>
  </si>
  <si>
    <t>LUZ ETERNA SA DE CV</t>
  </si>
  <si>
    <t>CHILCHOTA ALIMENTOS SA DE CV</t>
  </si>
  <si>
    <t>UNIVERSAL DISTRIBUTION S.A. DE C.V.</t>
  </si>
  <si>
    <t>RIO TEAPA S DE RL</t>
  </si>
  <si>
    <t>TRESMONTES LUCCHETTI MEXICO SA DE C</t>
  </si>
  <si>
    <t>PARAGUAS DE MEXICO S A DE C V</t>
  </si>
  <si>
    <t>SOGNERO DESCANSO S DE RL DE CV</t>
  </si>
  <si>
    <t>FACTOR PESCA SA DE CV</t>
  </si>
  <si>
    <t>OPERADORA RUZ SA DE CV</t>
  </si>
  <si>
    <t>VANDEN HASS DE MEXICO SA DE CV</t>
  </si>
  <si>
    <t>JRL SUPPLIERS S DE R.L DE CV</t>
  </si>
  <si>
    <t>VITIVINICOLA VALBUENA SA DE CV</t>
  </si>
  <si>
    <t>PRODUCTOS SALAZAR SA DE CV</t>
  </si>
  <si>
    <t>LA PUERTA DEL SOL SA DE CV</t>
  </si>
  <si>
    <t>IOTZONE SA DE CV</t>
  </si>
  <si>
    <t>VIMA MEXICANA SA DE CV</t>
  </si>
  <si>
    <t>CAFES FINOS DE CORDOBA SA DE CV</t>
  </si>
  <si>
    <t>FUEGO ENVASADO S.A. DE C.V.</t>
  </si>
  <si>
    <t>SEDA PURE INTERNACIONAL SA DE CV</t>
  </si>
  <si>
    <t>DGL LATAM SA DE CV</t>
  </si>
  <si>
    <t>QUESO PORTALES SA DE CV</t>
  </si>
  <si>
    <t>COMERCIALIZADORA SANBIA SA DE CV</t>
  </si>
  <si>
    <t>SAUCES DRESSINGS AND CONDIMENTS FOO SA DE CV</t>
  </si>
  <si>
    <t>FIERRO HERRERA ALBA ROCIO</t>
  </si>
  <si>
    <t>INSUM SAPI DE CV</t>
  </si>
  <si>
    <t>ALIMENTOS CAROL S.A. DE C.V.</t>
  </si>
  <si>
    <t>ALIMENTOS Y BEBIDAS INCREIBLES SAPI DE CV</t>
  </si>
  <si>
    <t>BIOSCENTS SC DE RL DE CV</t>
  </si>
  <si>
    <t>BELARA SA DE CV</t>
  </si>
  <si>
    <t>LALLEMAND MEXICO, S.A. DE C.V.</t>
  </si>
  <si>
    <t>Ediciones Larousse SA de CV</t>
  </si>
  <si>
    <t>IMPULSORA EURO SA DE CV</t>
  </si>
  <si>
    <t>PREFERRED POPCORN DE MEXICO S DE RL DE CV</t>
  </si>
  <si>
    <t>Comercio Mexicano Internacional S d e RL de CV</t>
  </si>
  <si>
    <t>PHILIPS MEXICO COMMERCIAL SA DE CV</t>
  </si>
  <si>
    <t>DISTRIBUIDORA TAMARIZ SAPI DE CV</t>
  </si>
  <si>
    <t>PRODUCTOS IMPORTADOS HECYMAR SA DE CV</t>
  </si>
  <si>
    <t>CARBONERAMONTERREY SA DE CV</t>
  </si>
  <si>
    <t>BESTWAY (HONG KONG) INTERNATIONAL LIMITED</t>
  </si>
  <si>
    <t>VITELY SA DE CV</t>
  </si>
  <si>
    <t>MAXIVA SA de CV</t>
  </si>
  <si>
    <t>KRAMO ALIMENTOS S.A. DE C.V.</t>
  </si>
  <si>
    <t>PREMIUM BEERS GROUP SAPI DE CV</t>
  </si>
  <si>
    <t>ALEX &amp; TONY SA de CV</t>
  </si>
  <si>
    <t>MERCANTIL DE PRODUCTOS MORELOS SA DE CV</t>
  </si>
  <si>
    <t>ENVOLTURAS SIGLO XXI SA DE CV</t>
  </si>
  <si>
    <t>JACK MILLER S.A. DE C.V.</t>
  </si>
  <si>
    <t>AGROS SERVICIOS INTEGRALES SA DE CV</t>
  </si>
  <si>
    <t>ABASTECEDORA DE PRODUCTOS MARINO DE L NORTE SA DE CV</t>
  </si>
  <si>
    <t>DISTRIBUCIONES PICACHOS SA DE CV</t>
  </si>
  <si>
    <t>VICENTE REY SA DE CV</t>
  </si>
  <si>
    <t>CHOCOLATERA DE NAYARIT S.A. DE C.V.</t>
  </si>
  <si>
    <t>PSICOFARMA SA DE CV</t>
  </si>
  <si>
    <t>INDUSTRIALIZADORA OLEOFINOS S.A. DE C.V.</t>
  </si>
  <si>
    <t>ARTSANA MEXICO SA DE CV</t>
  </si>
  <si>
    <t>DELICATESSEN INTERNACIONAL SA DE CV</t>
  </si>
  <si>
    <t>JORAS INTERNACIONAL CORPORATION S DE RL DE CV</t>
  </si>
  <si>
    <t>ACOPIADORA COMERCIAL Y AGROINDUST RIAL SA DE CV</t>
  </si>
  <si>
    <t>VECTOR DELTA S DE RL DE CV</t>
  </si>
  <si>
    <t>CROWN BACCARA DE MEXICO SA DE CV</t>
  </si>
  <si>
    <t>SIGNIFY MEXICO SA DE CV</t>
  </si>
  <si>
    <t>DISTRIBUIDORA DE PRODUCTOS ARAMO SA DE CV</t>
  </si>
  <si>
    <t>MORALES MENDOZA HECTOR MANUEL</t>
  </si>
  <si>
    <t>SEDERIA LA NUEVA S.A. DE C.V.</t>
  </si>
  <si>
    <t>ORESTIA SA DE CV</t>
  </si>
  <si>
    <t>HILOS IRIS, S.A. DE C.V.</t>
  </si>
  <si>
    <t>SANDALIAS TROPICALIA S.A. DE C.V.</t>
  </si>
  <si>
    <t>SEMILLAS Y CEREALES SAN JUANICO SA DE CV</t>
  </si>
  <si>
    <t>NARTEX LABORATORIOS HOMEOPATICOS SA DE CV</t>
  </si>
  <si>
    <t>ROYAL SOFT S.A. DE C.V.</t>
  </si>
  <si>
    <t>COMERCIALIZADORA PENZAL S DE RL DE CV</t>
  </si>
  <si>
    <t>MODA Y CONFECCION TEXTIL PLANETA, S .A. DE C.V.</t>
  </si>
  <si>
    <t>MEXPROUD SHIPPING SA DE CV</t>
  </si>
  <si>
    <t>INDUSTRIAS GUACAMAYA SA DE CV</t>
  </si>
  <si>
    <t>TEST RITE INTERNATIONAL CO LTD</t>
  </si>
  <si>
    <t>FREIXENET DE MEXICO SA DE CV</t>
  </si>
  <si>
    <t>KPS COMERCIALIZADORA SA DE CV</t>
  </si>
  <si>
    <t>PRODUCTOS ALIMENTICIOS DO¥A PA CHITA SA DE CV</t>
  </si>
  <si>
    <t>JM DISTRIBUIDORES SA DE CV</t>
  </si>
  <si>
    <t>CANELS, S.A. DE C.V.</t>
  </si>
  <si>
    <t>LATIN AM LIMITED</t>
  </si>
  <si>
    <t>SALSA HUICHOL S DE RL DE CV</t>
  </si>
  <si>
    <t>SERVICIOS ALIMENTICIOS AVANZADOS SA DE CV</t>
  </si>
  <si>
    <t>PHOENIX PACKAGING MEXICO SA DE CV</t>
  </si>
  <si>
    <t>ICSITUM SA DE CV</t>
  </si>
  <si>
    <t>FINPRE SA DE CV</t>
  </si>
  <si>
    <t>HARINERA LOS PIRINEOS SA DE CV</t>
  </si>
  <si>
    <t>ON TWELFTH SA DE CV</t>
  </si>
  <si>
    <t>ARTICULOS ELASTICOS CAMPEON S.A. DE C.V.</t>
  </si>
  <si>
    <t>AVANT PROJECTS SA DE CV</t>
  </si>
  <si>
    <t>DISTRIBUIDORA CASAM S.A. DE C.V.</t>
  </si>
  <si>
    <t>HEARTBEST S DE RL DE CV</t>
  </si>
  <si>
    <t>BUSLA TRADING SA DE CV</t>
  </si>
  <si>
    <t>SKN IMAGEN Y BELLEZA S.A. DE C.V.</t>
  </si>
  <si>
    <t>NUTRITION FACT DE MEXICO SAPI DE CV</t>
  </si>
  <si>
    <t>RD AMERIMEX DISTRIBUTION S DE RL DE CV</t>
  </si>
  <si>
    <t>CERVANTES GUAJARDO MARIEL</t>
  </si>
  <si>
    <t>PROPLASTEC SA DE CV</t>
  </si>
  <si>
    <t>OFFIHO S.A DE C.V</t>
  </si>
  <si>
    <t>PRODUCTOS BODYCARE S.A. DE C.V.</t>
  </si>
  <si>
    <t>PAN BUENO SA DE CV</t>
  </si>
  <si>
    <t>BELSKIN S DE RL DE CV</t>
  </si>
  <si>
    <t>CARETAS REV SA DE CV</t>
  </si>
  <si>
    <t>INDUSTRIA FARMACEUTICA ANDROMACO SA DE CV</t>
  </si>
  <si>
    <t>COMERCIALIZADORA OREL SA DE CV</t>
  </si>
  <si>
    <t>THE RESPECT COMPANY SA DE CV</t>
  </si>
  <si>
    <t>APG LABS DE MEXICO S DE RL DE CV</t>
  </si>
  <si>
    <t>LAMBI S.A DE C.V.</t>
  </si>
  <si>
    <t>LADY MODA SA DE CV</t>
  </si>
  <si>
    <t>FABRICA NACIONAL DE LIJA SA DE CV</t>
  </si>
  <si>
    <t>LA TORRE DE BABEL COMERCIALIZACION SA DE CV</t>
  </si>
  <si>
    <t>AGRISTO NV</t>
  </si>
  <si>
    <t>LABORATORIOS PAROMEX SA DE CV</t>
  </si>
  <si>
    <t>QFX INC.</t>
  </si>
  <si>
    <t>TECNISPICE S.A. DE C.V.</t>
  </si>
  <si>
    <t>ESCALERAS S DE RL DE CV</t>
  </si>
  <si>
    <t>VINOMEX SA DE CV</t>
  </si>
  <si>
    <t>STARLIGHT FOODS SA DE CV</t>
  </si>
  <si>
    <t>Marcas Extraordinarias SA de CV</t>
  </si>
  <si>
    <t>KARCHER MEXICO SA DE CV</t>
  </si>
  <si>
    <t>REGIOMASANO SA DE CV</t>
  </si>
  <si>
    <t>AGROPECUARIA ASTURIANA SA DE CV</t>
  </si>
  <si>
    <t>RISH SA DE CV</t>
  </si>
  <si>
    <t>ORILAT SA</t>
  </si>
  <si>
    <t>COMPANY OF PEOPLE DE MEXICO SAPI DE CV</t>
  </si>
  <si>
    <t>NAOS SKIN CARE MEXICO S DE RL DE CV</t>
  </si>
  <si>
    <t>DETERSOL S.A. DE C.V.</t>
  </si>
  <si>
    <t>Jocoques La Vaquita De Mexico SA de CV</t>
  </si>
  <si>
    <t>INDUSTRIAS NOTESA, S.A. DE C.V.</t>
  </si>
  <si>
    <t>Household Solutions S.A.</t>
  </si>
  <si>
    <t>NUTRITION SYSTEM SA DE CV</t>
  </si>
  <si>
    <t>RADIOMIZE SA DE CV</t>
  </si>
  <si>
    <t>VINOS VI¥EDOS Y BODEGAS S.A. DE C.V .</t>
  </si>
  <si>
    <t>DACE APPLIANCES NORTH AMERICA SAPI DE CV</t>
  </si>
  <si>
    <t>TBC DE MEXICO SA DE CV</t>
  </si>
  <si>
    <t>BEAUTIFUL WISH SA DE CV</t>
  </si>
  <si>
    <t>CAVAS DE DON MAX SA DE CV</t>
  </si>
  <si>
    <t>GUANGDONG EAGLE GIFTS CO LTD</t>
  </si>
  <si>
    <t>COMERCIALIZADORA REGIOMONTANA HACHI SA DE RL D CV</t>
  </si>
  <si>
    <t>MIS ZAPATITOS SA DE CV</t>
  </si>
  <si>
    <t>DOMEX SUPERFRESH GROWERS LLC</t>
  </si>
  <si>
    <t>CERVECERIA ARTESANAL DE COLIMA SAPI DE CV</t>
  </si>
  <si>
    <t>LAMEX AGRIALIMENTOS S DE RL DE CV</t>
  </si>
  <si>
    <t>ARRE BEEF S.A.</t>
  </si>
  <si>
    <t>TEGA NATURAL ENLIGHTENMENT FOODS SA DE CV</t>
  </si>
  <si>
    <t>NORJAL DISTRIBUIDORA Y COMERCIALI ZADORA SA DE CV</t>
  </si>
  <si>
    <t>GRUPO CARMI, S.A. DE C.V.</t>
  </si>
  <si>
    <t>SUCABRITO SA DE CV</t>
  </si>
  <si>
    <t>AMBIENTAIR MEXICO S DE RL DE CV</t>
  </si>
  <si>
    <t>CAMPI ALIMENTOS S.A DE C.V.</t>
  </si>
  <si>
    <t>VERDE LIMON TRAIDING COMPANY SA DE CV</t>
  </si>
  <si>
    <t>BRF GLOBAL GmbH</t>
  </si>
  <si>
    <t>MAGA¥A ZAMORA GERARDO MANUEL</t>
  </si>
  <si>
    <t>PANIFICADORA INTEGRAL PLF SA DE CV</t>
  </si>
  <si>
    <t>INDUSTRIAS CARNICAS LORIENTE PIQUERAS SA</t>
  </si>
  <si>
    <t>D M MEXICANA S.A DE C.V</t>
  </si>
  <si>
    <t>TOYSICLE, S.A. DE C.V.</t>
  </si>
  <si>
    <t>GHTLINK HK INTERNATIONAL TRADING LIMITED</t>
  </si>
  <si>
    <t>LABORATORIOS SERRAL SA DE CV</t>
  </si>
  <si>
    <t>TEQUILA ORENDAIN DE JALISCO SA DE C V</t>
  </si>
  <si>
    <t>LABORATORIOS ALPHARMA SA DE CV</t>
  </si>
  <si>
    <t>ILUMINACION ESPECIALIZADA DE OCCIDE NTE SA DE CV</t>
  </si>
  <si>
    <t>FABRICA DE DULCES GOMEZ SA DE CV</t>
  </si>
  <si>
    <t>PARALLEL 42 VENTURES SRL DE CV</t>
  </si>
  <si>
    <t>KIDS-II US MEXICO S.A. DE C.V.</t>
  </si>
  <si>
    <t>PASTA ARTESANAL SA DE CV</t>
  </si>
  <si>
    <t>SESAJAL SA DE CV</t>
  </si>
  <si>
    <t>MONTIOGSS SA DE CV</t>
  </si>
  <si>
    <t>PRODUCTOS NATURALES DE LA REGION MA YA DE ....</t>
  </si>
  <si>
    <t>GRUPO ZARPAT SA DE CV</t>
  </si>
  <si>
    <t>SUIZ SA DE CV</t>
  </si>
  <si>
    <t>EQUIPOS DE SEGURIDAD PARA LA INDUSTRIA Y COMERCIO SA DE CV</t>
  </si>
  <si>
    <t>ALTA TECNOLOGIA EN MEDITACION SA DE CV</t>
  </si>
  <si>
    <t>MAKITA MEXICO SA DE CV</t>
  </si>
  <si>
    <t>BLANCOS Y DERIVADOS CASAL SA DE CV</t>
  </si>
  <si>
    <t>BERGNER EUROPE SL</t>
  </si>
  <si>
    <t>LA EMPRESA DE LOS 100 A¥OS, S.A. DE</t>
  </si>
  <si>
    <t>LUCECO MEXICO S DE RL DE CV</t>
  </si>
  <si>
    <t>CAFE CUMBRE SA DE CV</t>
  </si>
  <si>
    <t>COTT EMBOTELLADORES DE MEXICO SA DE CV</t>
  </si>
  <si>
    <t>PRODUCTOS ZAM FRE SA DE CV</t>
  </si>
  <si>
    <t>UNIMAT DE MEXICO SA DE CV</t>
  </si>
  <si>
    <t>RTDS DE MEXICO SAPI DE CV</t>
  </si>
  <si>
    <t>SUPERALIMENTOS Y ORGANICOS SA DE CV</t>
  </si>
  <si>
    <t>HERMES HONEY SA DE CV</t>
  </si>
  <si>
    <t>SOLFISH SA DE CV</t>
  </si>
  <si>
    <t>CAMPO REAL VINICOLA SAPI DE CV</t>
  </si>
  <si>
    <t>GARDU¥O CORONA ADELA</t>
  </si>
  <si>
    <t>HUHTAMAKI MEXICANA</t>
  </si>
  <si>
    <t>SANTO MADERO S.A DE C.V.</t>
  </si>
  <si>
    <t>Tibi Desarrollos SAPI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</si>
</sst>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1" applyNumberFormat="1" applyFont="1"/>
    <xf numFmtId="0" fontId="6" fillId="0" borderId="0" xfId="0" applyFont="1"/>
    <xf numFmtId="43" fontId="6" fillId="0" borderId="0" xfId="1" applyFont="1"/>
    <xf numFmtId="43" fontId="0" fillId="0" borderId="1" xfId="1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44" fontId="7" fillId="2" borderId="2" xfId="2" applyFont="1" applyFill="1" applyBorder="1" applyAlignment="1">
      <alignment horizontal="center" vertical="center" wrapText="1"/>
    </xf>
    <xf numFmtId="44" fontId="7" fillId="3" borderId="2" xfId="2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center" vertical="center" wrapText="1"/>
    </xf>
    <xf numFmtId="43" fontId="7" fillId="2" borderId="2" xfId="1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43" fontId="7" fillId="7" borderId="2" xfId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9" fillId="0" borderId="0" xfId="0" applyFont="1"/>
    <xf numFmtId="164" fontId="9" fillId="0" borderId="0" xfId="1" applyNumberFormat="1" applyFont="1"/>
    <xf numFmtId="44" fontId="9" fillId="0" borderId="0" xfId="2" applyFont="1"/>
    <xf numFmtId="0" fontId="9" fillId="0" borderId="0" xfId="0" applyFont="1" applyAlignment="1">
      <alignment horizontal="center"/>
    </xf>
    <xf numFmtId="43" fontId="9" fillId="0" borderId="0" xfId="1" applyFont="1"/>
    <xf numFmtId="43" fontId="0" fillId="0" borderId="0" xfId="1" applyFont="1"/>
    <xf numFmtId="0" fontId="0" fillId="0" borderId="0" xfId="0" applyAlignment="1">
      <alignment wrapText="1"/>
    </xf>
    <xf numFmtId="43" fontId="2" fillId="0" borderId="0" xfId="1" applyFont="1"/>
    <xf numFmtId="164" fontId="9" fillId="0" borderId="0" xfId="1" applyNumberFormat="1" applyFont="1" applyBorder="1"/>
    <xf numFmtId="44" fontId="9" fillId="0" borderId="0" xfId="2" applyFont="1" applyBorder="1"/>
    <xf numFmtId="43" fontId="9" fillId="0" borderId="0" xfId="1" applyFont="1" applyBorder="1"/>
    <xf numFmtId="0" fontId="10" fillId="0" borderId="0" xfId="0" applyFont="1"/>
    <xf numFmtId="164" fontId="10" fillId="0" borderId="0" xfId="1" applyNumberFormat="1" applyFont="1"/>
    <xf numFmtId="44" fontId="10" fillId="0" borderId="0" xfId="2" applyFont="1"/>
    <xf numFmtId="44" fontId="11" fillId="0" borderId="0" xfId="2" applyFont="1"/>
    <xf numFmtId="0" fontId="10" fillId="0" borderId="0" xfId="0" applyFont="1" applyAlignment="1">
      <alignment horizontal="center"/>
    </xf>
    <xf numFmtId="43" fontId="10" fillId="0" borderId="0" xfId="1" applyFont="1"/>
    <xf numFmtId="0" fontId="2" fillId="0" borderId="0" xfId="0" applyFont="1"/>
    <xf numFmtId="0" fontId="12" fillId="0" borderId="0" xfId="0" applyFont="1"/>
    <xf numFmtId="0" fontId="11" fillId="0" borderId="0" xfId="0" applyFont="1"/>
    <xf numFmtId="164" fontId="11" fillId="0" borderId="0" xfId="1" applyNumberFormat="1" applyFont="1"/>
    <xf numFmtId="0" fontId="11" fillId="0" borderId="0" xfId="0" applyFont="1" applyAlignment="1">
      <alignment horizontal="center"/>
    </xf>
    <xf numFmtId="43" fontId="11" fillId="0" borderId="0" xfId="1" applyFont="1"/>
    <xf numFmtId="0" fontId="13" fillId="0" borderId="0" xfId="0" applyFont="1"/>
    <xf numFmtId="164" fontId="9" fillId="0" borderId="0" xfId="1" applyNumberFormat="1" applyFont="1" applyFill="1"/>
    <xf numFmtId="44" fontId="9" fillId="0" borderId="0" xfId="2" applyFont="1" applyFill="1"/>
    <xf numFmtId="43" fontId="9" fillId="0" borderId="0" xfId="1" applyFont="1" applyFill="1"/>
    <xf numFmtId="0" fontId="9" fillId="9" borderId="0" xfId="0" applyFont="1" applyFill="1"/>
    <xf numFmtId="164" fontId="9" fillId="9" borderId="0" xfId="1" applyNumberFormat="1" applyFont="1" applyFill="1"/>
    <xf numFmtId="44" fontId="9" fillId="9" borderId="0" xfId="2" applyFont="1" applyFill="1"/>
    <xf numFmtId="0" fontId="9" fillId="9" borderId="0" xfId="0" applyFont="1" applyFill="1" applyAlignment="1">
      <alignment horizontal="center"/>
    </xf>
    <xf numFmtId="43" fontId="9" fillId="9" borderId="0" xfId="1" applyFont="1" applyFill="1"/>
    <xf numFmtId="0" fontId="0" fillId="9" borderId="0" xfId="0" applyFill="1"/>
    <xf numFmtId="43" fontId="0" fillId="9" borderId="0" xfId="1" applyFont="1" applyFill="1"/>
    <xf numFmtId="43" fontId="2" fillId="9" borderId="0" xfId="1" applyFont="1" applyFill="1"/>
    <xf numFmtId="43" fontId="2" fillId="0" borderId="0" xfId="1" applyFont="1" applyFill="1"/>
    <xf numFmtId="43" fontId="0" fillId="0" borderId="0" xfId="1" applyFont="1" applyFill="1"/>
    <xf numFmtId="0" fontId="9" fillId="5" borderId="0" xfId="0" applyFont="1" applyFill="1"/>
    <xf numFmtId="0" fontId="12" fillId="9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0%20-%20AUDITORIA%202020%20-%202024\VENDOR%20MASTER%202020%20-2025\Ajuste-Planeaci&#243;n.xlsx" TargetMode="External"/><Relationship Id="rId1" Type="http://schemas.openxmlformats.org/officeDocument/2006/relationships/externalLinkPath" Target="https://prgx.sharepoint.com/sites/SORIANA418/Shared%20Documents/General/Auditoria%202025-2026/Asignaci&#243;n%202020%20-%202025/Ajuste-Planeaci&#243;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argos/DASHBOARD%20CARTAS_Reunion%20Jorge/Reuniones%20Jorge%20Reyes%202026/Reuni&#243;n%20Jorge%20Reyes%204%20feb%202026/Copy%20of%20Dashboard%20Inventario%20PRGX%20Soriana%20Junio%2026_actual_24Jun2026.xlsx" TargetMode="External"/><Relationship Id="rId2" Type="http://schemas.openxmlformats.org/officeDocument/2006/relationships/externalLinkPath" Target="file:///X:\Soriana\00%20-%20AUDITORIA%202020%20-%202024\Cargos\DASHBOARD%20CARTAS_Reunion%20Jorge\Reuniones%20Jorge%20Reyes%202026\Reuni&#243;n%20Jorge%20Reyes%204%20feb%202026\Copy%20of%20Dashboard%20Inventario%20PRGX%20Soriana%20Junio%2026_actual_24Jun2026.xlsx" TargetMode="External"/><Relationship Id="rId1" Type="http://schemas.openxmlformats.org/officeDocument/2006/relationships/externalLinkPath" Target="/Soriana/00%20-%20AUDITORIA%202020%20-%202024/Cargos/DASHBOARD%20CARTAS_Reunion%20Jorge/Reuniones%20Jorge%20Reyes%202026/Reuni&#243;n%20Jorge%20Reyes%204%20feb%202026/Copy%20of%20Dashboard%20Inventario%20PRGX%20Soriana%20Junio%2026_actual_24Jun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Lista Proveedores"/>
      <sheetName val="Lista Proveedores (2)"/>
      <sheetName val="Sheet6"/>
      <sheetName val="Lista Proveedores (3)"/>
      <sheetName val="NS - SI"/>
      <sheetName val="Sheet3"/>
      <sheetName val="saldos al 26May26"/>
      <sheetName val="Sheet7"/>
      <sheetName val="avance proveedores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>
            <v>70</v>
          </cell>
          <cell r="E2" t="str">
            <v>MXN</v>
          </cell>
          <cell r="F2">
            <v>-1549437.3</v>
          </cell>
          <cell r="G2">
            <v>1891869.58</v>
          </cell>
          <cell r="H2">
            <v>3377935.17</v>
          </cell>
          <cell r="I2">
            <v>-3035502.89</v>
          </cell>
        </row>
        <row r="3">
          <cell r="C3">
            <v>137</v>
          </cell>
          <cell r="E3" t="str">
            <v>MXN</v>
          </cell>
          <cell r="F3">
            <v>-15703103.84</v>
          </cell>
          <cell r="G3">
            <v>31142884.52</v>
          </cell>
          <cell r="H3">
            <v>26020255.329999998</v>
          </cell>
          <cell r="I3">
            <v>-10580474.65</v>
          </cell>
        </row>
        <row r="4">
          <cell r="C4">
            <v>167</v>
          </cell>
          <cell r="E4" t="str">
            <v>MXN</v>
          </cell>
          <cell r="F4">
            <v>-245478.02</v>
          </cell>
          <cell r="G4">
            <v>1607829.89</v>
          </cell>
          <cell r="H4">
            <v>1774374.02</v>
          </cell>
          <cell r="I4">
            <v>-412022.15</v>
          </cell>
        </row>
        <row r="5">
          <cell r="C5">
            <v>191</v>
          </cell>
          <cell r="E5" t="str">
            <v>MXN</v>
          </cell>
          <cell r="F5">
            <v>-7225316.96</v>
          </cell>
          <cell r="G5">
            <v>24538922.489999998</v>
          </cell>
          <cell r="H5">
            <v>23273409.98</v>
          </cell>
          <cell r="I5">
            <v>-5959804.4500000002</v>
          </cell>
        </row>
        <row r="6">
          <cell r="C6">
            <v>196</v>
          </cell>
          <cell r="E6" t="str">
            <v>MXN</v>
          </cell>
          <cell r="F6">
            <v>-3169335.89</v>
          </cell>
          <cell r="G6">
            <v>9914815.5999999996</v>
          </cell>
          <cell r="H6">
            <v>9447873.6400000006</v>
          </cell>
          <cell r="I6">
            <v>-2702393.93</v>
          </cell>
        </row>
        <row r="7">
          <cell r="C7">
            <v>201</v>
          </cell>
          <cell r="E7" t="str">
            <v>MXN</v>
          </cell>
          <cell r="F7">
            <v>-2693301.13</v>
          </cell>
          <cell r="G7">
            <v>23426836.780000001</v>
          </cell>
          <cell r="H7">
            <v>20915188.329999998</v>
          </cell>
          <cell r="I7">
            <v>-181652.68</v>
          </cell>
        </row>
        <row r="8">
          <cell r="C8">
            <v>230</v>
          </cell>
          <cell r="E8" t="str">
            <v>MXN</v>
          </cell>
          <cell r="F8">
            <v>-11928982.310000001</v>
          </cell>
          <cell r="G8">
            <v>15743218.5</v>
          </cell>
          <cell r="H8">
            <v>30027155.010000002</v>
          </cell>
          <cell r="I8">
            <v>-26212918.82</v>
          </cell>
        </row>
        <row r="9">
          <cell r="C9">
            <v>245</v>
          </cell>
          <cell r="E9" t="str">
            <v>MXN</v>
          </cell>
          <cell r="F9">
            <v>-1912967.06</v>
          </cell>
          <cell r="G9">
            <v>2913599.36</v>
          </cell>
          <cell r="H9">
            <v>6017550</v>
          </cell>
          <cell r="I9">
            <v>-5016917.7</v>
          </cell>
        </row>
        <row r="10">
          <cell r="C10">
            <v>305</v>
          </cell>
          <cell r="E10" t="str">
            <v>MXN</v>
          </cell>
          <cell r="F10">
            <v>640247.54</v>
          </cell>
          <cell r="G10">
            <v>1561608.56</v>
          </cell>
          <cell r="H10">
            <v>0</v>
          </cell>
          <cell r="I10">
            <v>2201856.1</v>
          </cell>
        </row>
        <row r="11">
          <cell r="C11">
            <v>335</v>
          </cell>
          <cell r="E11" t="str">
            <v>MXN</v>
          </cell>
          <cell r="F11">
            <v>-12669355.699999999</v>
          </cell>
          <cell r="G11">
            <v>19136405.02</v>
          </cell>
          <cell r="H11">
            <v>18872568.210000001</v>
          </cell>
          <cell r="I11">
            <v>-12405518.890000001</v>
          </cell>
        </row>
        <row r="12">
          <cell r="C12">
            <v>339</v>
          </cell>
          <cell r="E12" t="str">
            <v>MXN</v>
          </cell>
          <cell r="F12">
            <v>-6228873.5300000003</v>
          </cell>
          <cell r="G12">
            <v>9702746.0199999996</v>
          </cell>
          <cell r="H12">
            <v>4579937.2699999996</v>
          </cell>
          <cell r="I12">
            <v>-1106064.78</v>
          </cell>
        </row>
        <row r="13">
          <cell r="C13">
            <v>341</v>
          </cell>
          <cell r="E13" t="str">
            <v>MXN</v>
          </cell>
          <cell r="F13">
            <v>-1105561.44</v>
          </cell>
          <cell r="G13">
            <v>5207456.7699999996</v>
          </cell>
          <cell r="H13">
            <v>6651876.1699999999</v>
          </cell>
          <cell r="I13">
            <v>-2549980.84</v>
          </cell>
        </row>
        <row r="14">
          <cell r="C14">
            <v>364</v>
          </cell>
          <cell r="E14" t="str">
            <v>MXN</v>
          </cell>
          <cell r="F14">
            <v>-43351683.57</v>
          </cell>
          <cell r="G14">
            <v>165534671.24000001</v>
          </cell>
          <cell r="H14">
            <v>185681772.44999999</v>
          </cell>
          <cell r="I14">
            <v>-63498784.780000001</v>
          </cell>
        </row>
        <row r="15">
          <cell r="C15">
            <v>453</v>
          </cell>
          <cell r="E15" t="str">
            <v>MXN</v>
          </cell>
          <cell r="F15">
            <v>-13946250.93</v>
          </cell>
          <cell r="G15">
            <v>16634507.48</v>
          </cell>
          <cell r="H15">
            <v>57228856.130000003</v>
          </cell>
          <cell r="I15">
            <v>-54540599.579999998</v>
          </cell>
        </row>
        <row r="16">
          <cell r="C16">
            <v>466</v>
          </cell>
          <cell r="E16" t="str">
            <v>MXN</v>
          </cell>
          <cell r="F16">
            <v>-5087720.08</v>
          </cell>
          <cell r="G16">
            <v>11166103.720000001</v>
          </cell>
          <cell r="H16">
            <v>9854355.8399999999</v>
          </cell>
          <cell r="I16">
            <v>-3775972.2</v>
          </cell>
        </row>
        <row r="17">
          <cell r="C17">
            <v>469</v>
          </cell>
          <cell r="E17" t="str">
            <v>MXN</v>
          </cell>
          <cell r="F17">
            <v>-338700.23</v>
          </cell>
          <cell r="G17">
            <v>739617.95</v>
          </cell>
          <cell r="H17">
            <v>871286.06</v>
          </cell>
          <cell r="I17">
            <v>-470368.34</v>
          </cell>
        </row>
        <row r="18">
          <cell r="C18">
            <v>487</v>
          </cell>
          <cell r="E18" t="str">
            <v>MXN</v>
          </cell>
          <cell r="F18">
            <v>-994319.7</v>
          </cell>
          <cell r="G18">
            <v>1207618.22</v>
          </cell>
          <cell r="H18">
            <v>1182531.0900000001</v>
          </cell>
          <cell r="I18">
            <v>-969232.57</v>
          </cell>
        </row>
        <row r="19">
          <cell r="C19">
            <v>551</v>
          </cell>
          <cell r="E19" t="str">
            <v>MXN</v>
          </cell>
          <cell r="F19">
            <v>-189304.45</v>
          </cell>
          <cell r="G19">
            <v>374548.78</v>
          </cell>
          <cell r="H19">
            <v>416067.6</v>
          </cell>
          <cell r="I19">
            <v>-230823.27</v>
          </cell>
        </row>
        <row r="20">
          <cell r="C20">
            <v>558</v>
          </cell>
          <cell r="E20" t="str">
            <v>MXN</v>
          </cell>
          <cell r="F20">
            <v>-7221676.7300000004</v>
          </cell>
          <cell r="G20">
            <v>15688066.300000001</v>
          </cell>
          <cell r="H20">
            <v>8527937.8100000005</v>
          </cell>
          <cell r="I20">
            <v>-61548.24</v>
          </cell>
        </row>
        <row r="21">
          <cell r="C21">
            <v>594</v>
          </cell>
          <cell r="E21" t="str">
            <v>MXN</v>
          </cell>
          <cell r="F21">
            <v>-12602091.99</v>
          </cell>
          <cell r="G21">
            <v>19004455.890000001</v>
          </cell>
          <cell r="H21">
            <v>28410670.530000001</v>
          </cell>
          <cell r="I21">
            <v>-22008306.629999999</v>
          </cell>
        </row>
        <row r="22">
          <cell r="C22">
            <v>611</v>
          </cell>
          <cell r="E22" t="str">
            <v>MXN</v>
          </cell>
          <cell r="F22">
            <v>-47683533.229999997</v>
          </cell>
          <cell r="G22">
            <v>161540320.37</v>
          </cell>
          <cell r="H22">
            <v>147962883.63999999</v>
          </cell>
          <cell r="I22">
            <v>-34106096.5</v>
          </cell>
        </row>
        <row r="23">
          <cell r="C23">
            <v>652</v>
          </cell>
          <cell r="E23" t="str">
            <v>MXN</v>
          </cell>
          <cell r="F23">
            <v>-7003069.6799999997</v>
          </cell>
          <cell r="G23">
            <v>46626890.539999999</v>
          </cell>
          <cell r="H23">
            <v>41605245.109999999</v>
          </cell>
          <cell r="I23">
            <v>-1981424.25</v>
          </cell>
        </row>
        <row r="24">
          <cell r="C24">
            <v>666</v>
          </cell>
          <cell r="E24" t="str">
            <v>MXN</v>
          </cell>
          <cell r="F24">
            <v>-548733.79</v>
          </cell>
          <cell r="G24">
            <v>8322924.9100000001</v>
          </cell>
          <cell r="H24">
            <v>9374258</v>
          </cell>
          <cell r="I24">
            <v>-1600066.88</v>
          </cell>
        </row>
        <row r="25">
          <cell r="C25">
            <v>668</v>
          </cell>
          <cell r="E25" t="str">
            <v>MXN</v>
          </cell>
          <cell r="F25">
            <v>-1617394.14</v>
          </cell>
          <cell r="G25">
            <v>3732734.09</v>
          </cell>
          <cell r="H25">
            <v>2283583.27</v>
          </cell>
          <cell r="I25">
            <v>-168243.32</v>
          </cell>
        </row>
        <row r="26">
          <cell r="C26">
            <v>696</v>
          </cell>
          <cell r="E26" t="str">
            <v>MXN</v>
          </cell>
          <cell r="F26">
            <v>-65782535.770000003</v>
          </cell>
          <cell r="G26">
            <v>91553576.5</v>
          </cell>
          <cell r="H26">
            <v>102150718.72</v>
          </cell>
          <cell r="I26">
            <v>-76379677.989999995</v>
          </cell>
        </row>
        <row r="27">
          <cell r="C27">
            <v>716</v>
          </cell>
          <cell r="E27" t="str">
            <v>MXN</v>
          </cell>
          <cell r="F27">
            <v>-11019665.59</v>
          </cell>
          <cell r="G27">
            <v>32645864.399999999</v>
          </cell>
          <cell r="H27">
            <v>23114956.289999999</v>
          </cell>
          <cell r="I27">
            <v>-1488757.48</v>
          </cell>
        </row>
        <row r="28">
          <cell r="C28">
            <v>741</v>
          </cell>
          <cell r="E28" t="str">
            <v>MXN</v>
          </cell>
          <cell r="F28">
            <v>-5108719.91</v>
          </cell>
          <cell r="G28">
            <v>28635002.530000001</v>
          </cell>
          <cell r="H28">
            <v>24416155.030000001</v>
          </cell>
          <cell r="I28">
            <v>-889872.41</v>
          </cell>
        </row>
        <row r="29">
          <cell r="C29">
            <v>779</v>
          </cell>
          <cell r="E29" t="str">
            <v>MXN</v>
          </cell>
          <cell r="F29">
            <v>3900</v>
          </cell>
          <cell r="G29">
            <v>0</v>
          </cell>
          <cell r="H29">
            <v>0</v>
          </cell>
          <cell r="I29">
            <v>3900</v>
          </cell>
        </row>
        <row r="30">
          <cell r="C30">
            <v>799</v>
          </cell>
          <cell r="E30" t="str">
            <v>MXN</v>
          </cell>
          <cell r="F30">
            <v>-1480434.42</v>
          </cell>
          <cell r="G30">
            <v>3510608.93</v>
          </cell>
          <cell r="H30">
            <v>9910256.4900000002</v>
          </cell>
          <cell r="I30">
            <v>-7880081.9800000004</v>
          </cell>
        </row>
        <row r="31">
          <cell r="C31">
            <v>836</v>
          </cell>
          <cell r="E31" t="str">
            <v>MXN</v>
          </cell>
          <cell r="F31">
            <v>0</v>
          </cell>
          <cell r="G31">
            <v>2888597.46</v>
          </cell>
          <cell r="H31">
            <v>3086717.98</v>
          </cell>
          <cell r="I31">
            <v>-198120.52</v>
          </cell>
        </row>
        <row r="32">
          <cell r="C32">
            <v>943</v>
          </cell>
          <cell r="E32" t="str">
            <v>MXN</v>
          </cell>
          <cell r="F32">
            <v>-20548209.109999999</v>
          </cell>
          <cell r="G32">
            <v>26207004.210000001</v>
          </cell>
          <cell r="H32">
            <v>22452512.469999999</v>
          </cell>
          <cell r="I32">
            <v>-16793717.370000001</v>
          </cell>
        </row>
        <row r="33">
          <cell r="C33">
            <v>1024</v>
          </cell>
          <cell r="E33" t="str">
            <v>MXN</v>
          </cell>
          <cell r="F33">
            <v>-211007110.69</v>
          </cell>
          <cell r="G33">
            <v>222028215.44999999</v>
          </cell>
          <cell r="H33">
            <v>71062754.540000007</v>
          </cell>
          <cell r="I33">
            <v>-60041649.780000001</v>
          </cell>
        </row>
        <row r="34">
          <cell r="C34">
            <v>1198</v>
          </cell>
          <cell r="E34" t="str">
            <v>MXN</v>
          </cell>
          <cell r="F34">
            <v>-103813641.11</v>
          </cell>
          <cell r="G34">
            <v>284690605.5</v>
          </cell>
          <cell r="H34">
            <v>280618350.60000002</v>
          </cell>
          <cell r="I34">
            <v>-99741386.209999993</v>
          </cell>
        </row>
        <row r="35">
          <cell r="C35">
            <v>1256</v>
          </cell>
          <cell r="E35" t="str">
            <v>MXN</v>
          </cell>
          <cell r="F35">
            <v>-5266485.1500000004</v>
          </cell>
          <cell r="G35">
            <v>21567493.350000001</v>
          </cell>
          <cell r="H35">
            <v>17873617.989999998</v>
          </cell>
          <cell r="I35">
            <v>-1572609.79</v>
          </cell>
        </row>
        <row r="36">
          <cell r="C36">
            <v>1363</v>
          </cell>
          <cell r="E36" t="str">
            <v>MXN</v>
          </cell>
          <cell r="F36">
            <v>-19796350.600000001</v>
          </cell>
          <cell r="G36">
            <v>50050834.740000002</v>
          </cell>
          <cell r="H36">
            <v>40958761.32</v>
          </cell>
          <cell r="I36">
            <v>-10704277.18</v>
          </cell>
        </row>
        <row r="37">
          <cell r="C37">
            <v>1398</v>
          </cell>
          <cell r="E37" t="str">
            <v>MXN</v>
          </cell>
          <cell r="F37">
            <v>-2598166.23</v>
          </cell>
          <cell r="G37">
            <v>4029507.04</v>
          </cell>
          <cell r="H37">
            <v>3893493.42</v>
          </cell>
          <cell r="I37">
            <v>-2462152.61</v>
          </cell>
        </row>
        <row r="38">
          <cell r="C38">
            <v>1530</v>
          </cell>
          <cell r="E38" t="str">
            <v>MXN</v>
          </cell>
          <cell r="F38">
            <v>-1598400.55</v>
          </cell>
          <cell r="G38">
            <v>4749718.6500000004</v>
          </cell>
          <cell r="H38">
            <v>4746759.1100000003</v>
          </cell>
          <cell r="I38">
            <v>-1595441.01</v>
          </cell>
        </row>
        <row r="39">
          <cell r="C39">
            <v>1632</v>
          </cell>
          <cell r="E39" t="str">
            <v>MXN</v>
          </cell>
          <cell r="F39">
            <v>-40202777.469999999</v>
          </cell>
          <cell r="G39">
            <v>93134250.359999999</v>
          </cell>
          <cell r="H39">
            <v>60310627.450000003</v>
          </cell>
          <cell r="I39">
            <v>-7379154.5599999996</v>
          </cell>
        </row>
        <row r="40">
          <cell r="C40">
            <v>1814</v>
          </cell>
          <cell r="E40" t="str">
            <v>MXN</v>
          </cell>
          <cell r="F40">
            <v>-7678.31</v>
          </cell>
          <cell r="G40">
            <v>9265.8799999999992</v>
          </cell>
          <cell r="H40">
            <v>788.05</v>
          </cell>
          <cell r="I40">
            <v>799.52</v>
          </cell>
        </row>
        <row r="41">
          <cell r="C41">
            <v>1838</v>
          </cell>
          <cell r="E41" t="str">
            <v>MXN</v>
          </cell>
          <cell r="F41">
            <v>-54703693.68</v>
          </cell>
          <cell r="G41">
            <v>55414054.5</v>
          </cell>
          <cell r="H41">
            <v>9992105.4399999995</v>
          </cell>
          <cell r="I41">
            <v>-9281744.6199999992</v>
          </cell>
        </row>
        <row r="42">
          <cell r="C42">
            <v>1850</v>
          </cell>
          <cell r="E42" t="str">
            <v>MXN</v>
          </cell>
          <cell r="F42">
            <v>-77155317.599999994</v>
          </cell>
          <cell r="G42">
            <v>162795867.47999999</v>
          </cell>
          <cell r="H42">
            <v>94928504.239999995</v>
          </cell>
          <cell r="I42">
            <v>-9287954.3599999994</v>
          </cell>
        </row>
        <row r="43">
          <cell r="C43">
            <v>1966</v>
          </cell>
          <cell r="E43" t="str">
            <v>MXN</v>
          </cell>
          <cell r="F43">
            <v>-12363350.76</v>
          </cell>
          <cell r="G43">
            <v>12363350.76</v>
          </cell>
          <cell r="H43">
            <v>0</v>
          </cell>
          <cell r="I43">
            <v>0</v>
          </cell>
        </row>
        <row r="44">
          <cell r="C44">
            <v>2121</v>
          </cell>
          <cell r="E44" t="str">
            <v>MXN</v>
          </cell>
          <cell r="F44">
            <v>-4486778.95</v>
          </cell>
          <cell r="G44">
            <v>5857102.6200000001</v>
          </cell>
          <cell r="H44">
            <v>435250.9</v>
          </cell>
          <cell r="I44">
            <v>935072.77</v>
          </cell>
        </row>
        <row r="45">
          <cell r="C45">
            <v>2151</v>
          </cell>
          <cell r="E45" t="str">
            <v>MXN</v>
          </cell>
          <cell r="F45">
            <v>-594941.98</v>
          </cell>
          <cell r="G45">
            <v>1585953.92</v>
          </cell>
          <cell r="H45">
            <v>1807030.6</v>
          </cell>
          <cell r="I45">
            <v>-816018.66</v>
          </cell>
        </row>
        <row r="46">
          <cell r="C46">
            <v>2861</v>
          </cell>
          <cell r="E46" t="str">
            <v>MXN</v>
          </cell>
          <cell r="F46">
            <v>-795911.66</v>
          </cell>
          <cell r="G46">
            <v>3813250.48</v>
          </cell>
          <cell r="H46">
            <v>3277999.72</v>
          </cell>
          <cell r="I46">
            <v>-260660.9</v>
          </cell>
        </row>
        <row r="47">
          <cell r="C47">
            <v>2949</v>
          </cell>
          <cell r="E47" t="str">
            <v>MXN</v>
          </cell>
          <cell r="F47">
            <v>-11232462.449999999</v>
          </cell>
          <cell r="G47">
            <v>19899697.34</v>
          </cell>
          <cell r="H47">
            <v>11248496.77</v>
          </cell>
          <cell r="I47">
            <v>-2581261.88</v>
          </cell>
        </row>
        <row r="48">
          <cell r="C48">
            <v>3137</v>
          </cell>
          <cell r="E48" t="str">
            <v>MXN</v>
          </cell>
          <cell r="F48">
            <v>-76477890.079999998</v>
          </cell>
          <cell r="G48">
            <v>101755448.22</v>
          </cell>
          <cell r="H48">
            <v>68529776.849999994</v>
          </cell>
          <cell r="I48">
            <v>-43252218.710000001</v>
          </cell>
        </row>
        <row r="49">
          <cell r="C49">
            <v>3144</v>
          </cell>
          <cell r="E49" t="str">
            <v>MXN</v>
          </cell>
          <cell r="F49">
            <v>-5664768.5300000003</v>
          </cell>
          <cell r="G49">
            <v>16688695.52</v>
          </cell>
          <cell r="H49">
            <v>30850046.32</v>
          </cell>
          <cell r="I49">
            <v>-19826119.329999998</v>
          </cell>
        </row>
        <row r="50">
          <cell r="C50">
            <v>3160</v>
          </cell>
          <cell r="E50" t="str">
            <v>MXN</v>
          </cell>
          <cell r="F50">
            <v>-13160344.390000001</v>
          </cell>
          <cell r="G50">
            <v>28484205.559999999</v>
          </cell>
          <cell r="H50">
            <v>19969298.690000001</v>
          </cell>
          <cell r="I50">
            <v>-4645437.5199999996</v>
          </cell>
        </row>
        <row r="51">
          <cell r="C51">
            <v>3437</v>
          </cell>
          <cell r="E51" t="str">
            <v>MXN</v>
          </cell>
          <cell r="F51">
            <v>-425685.29</v>
          </cell>
          <cell r="G51">
            <v>425685.29</v>
          </cell>
          <cell r="H51">
            <v>0</v>
          </cell>
          <cell r="I51">
            <v>0</v>
          </cell>
        </row>
        <row r="52">
          <cell r="C52">
            <v>3540</v>
          </cell>
          <cell r="E52" t="str">
            <v>MXN</v>
          </cell>
          <cell r="F52">
            <v>-25057831.050000001</v>
          </cell>
          <cell r="G52">
            <v>41230274.329999998</v>
          </cell>
          <cell r="H52">
            <v>40052458.670000002</v>
          </cell>
          <cell r="I52">
            <v>-23880015.390000001</v>
          </cell>
        </row>
        <row r="53">
          <cell r="C53">
            <v>3566</v>
          </cell>
          <cell r="E53" t="str">
            <v>MXN</v>
          </cell>
          <cell r="F53">
            <v>-5930275.0999999996</v>
          </cell>
          <cell r="G53">
            <v>12643573.82</v>
          </cell>
          <cell r="H53">
            <v>10124468.66</v>
          </cell>
          <cell r="I53">
            <v>-3411169.94</v>
          </cell>
        </row>
        <row r="54">
          <cell r="C54">
            <v>3570</v>
          </cell>
          <cell r="E54" t="str">
            <v>MXN</v>
          </cell>
          <cell r="F54">
            <v>-8323737.2599999998</v>
          </cell>
          <cell r="G54">
            <v>24503878.260000002</v>
          </cell>
          <cell r="H54">
            <v>22374087.760000002</v>
          </cell>
          <cell r="I54">
            <v>-6193946.7599999998</v>
          </cell>
        </row>
        <row r="55">
          <cell r="C55">
            <v>3604</v>
          </cell>
          <cell r="E55" t="str">
            <v>MXN</v>
          </cell>
          <cell r="F55">
            <v>-469356.37</v>
          </cell>
          <cell r="G55">
            <v>3396744.88</v>
          </cell>
          <cell r="H55">
            <v>3870584.56</v>
          </cell>
          <cell r="I55">
            <v>-943196.05</v>
          </cell>
        </row>
        <row r="56">
          <cell r="C56">
            <v>3770</v>
          </cell>
          <cell r="E56" t="str">
            <v>MXN</v>
          </cell>
          <cell r="F56">
            <v>-2692182.16</v>
          </cell>
          <cell r="G56">
            <v>11164496.289999999</v>
          </cell>
          <cell r="H56">
            <v>11624690.24</v>
          </cell>
          <cell r="I56">
            <v>-3152376.11</v>
          </cell>
        </row>
        <row r="57">
          <cell r="C57">
            <v>3773</v>
          </cell>
          <cell r="E57" t="str">
            <v>MXN</v>
          </cell>
          <cell r="F57">
            <v>-70924692.829999998</v>
          </cell>
          <cell r="G57">
            <v>219982941.96000001</v>
          </cell>
          <cell r="H57">
            <v>223051411.16999999</v>
          </cell>
          <cell r="I57">
            <v>-73993162.040000007</v>
          </cell>
        </row>
        <row r="58">
          <cell r="C58">
            <v>3774</v>
          </cell>
          <cell r="E58" t="str">
            <v>MXN</v>
          </cell>
          <cell r="F58">
            <v>-3694568.93</v>
          </cell>
          <cell r="G58">
            <v>9942673.1500000004</v>
          </cell>
          <cell r="H58">
            <v>9657598</v>
          </cell>
          <cell r="I58">
            <v>-3409493.78</v>
          </cell>
        </row>
        <row r="59">
          <cell r="C59">
            <v>3806</v>
          </cell>
          <cell r="E59" t="str">
            <v>MXN</v>
          </cell>
          <cell r="F59">
            <v>-5455128.8499999996</v>
          </cell>
          <cell r="G59">
            <v>11832531.93</v>
          </cell>
          <cell r="H59">
            <v>15122071.26</v>
          </cell>
          <cell r="I59">
            <v>-8744668.1799999997</v>
          </cell>
        </row>
        <row r="60">
          <cell r="C60">
            <v>3835</v>
          </cell>
          <cell r="E60" t="str">
            <v>MXN</v>
          </cell>
          <cell r="F60">
            <v>-1116740.01</v>
          </cell>
          <cell r="G60">
            <v>1567363.14</v>
          </cell>
          <cell r="H60">
            <v>1305743.69</v>
          </cell>
          <cell r="I60">
            <v>-855120.56</v>
          </cell>
        </row>
        <row r="61">
          <cell r="C61">
            <v>3860</v>
          </cell>
          <cell r="E61" t="str">
            <v>MXN</v>
          </cell>
          <cell r="F61">
            <v>-12574790.75</v>
          </cell>
          <cell r="G61">
            <v>48107829.219999999</v>
          </cell>
          <cell r="H61">
            <v>45376292.030000001</v>
          </cell>
          <cell r="I61">
            <v>-9843253.5600000005</v>
          </cell>
        </row>
        <row r="62">
          <cell r="C62">
            <v>4010</v>
          </cell>
          <cell r="E62" t="str">
            <v>MXN</v>
          </cell>
          <cell r="F62">
            <v>-60533433.920000002</v>
          </cell>
          <cell r="G62">
            <v>90286630.099999994</v>
          </cell>
          <cell r="H62">
            <v>88630264.629999995</v>
          </cell>
          <cell r="I62">
            <v>-58877068.450000003</v>
          </cell>
        </row>
        <row r="63">
          <cell r="C63">
            <v>4069</v>
          </cell>
          <cell r="E63" t="str">
            <v>MXN</v>
          </cell>
          <cell r="F63">
            <v>-14182176.34</v>
          </cell>
          <cell r="G63">
            <v>27926669.620000001</v>
          </cell>
          <cell r="H63">
            <v>13939958.67</v>
          </cell>
          <cell r="I63">
            <v>-195465.39</v>
          </cell>
        </row>
        <row r="64">
          <cell r="C64">
            <v>4077</v>
          </cell>
          <cell r="E64" t="str">
            <v>MXN</v>
          </cell>
          <cell r="F64">
            <v>-111644647.91</v>
          </cell>
          <cell r="G64">
            <v>413765246.38</v>
          </cell>
          <cell r="H64">
            <v>458147636.66000003</v>
          </cell>
          <cell r="I64">
            <v>-156027038.19</v>
          </cell>
        </row>
        <row r="65">
          <cell r="C65">
            <v>4101</v>
          </cell>
          <cell r="E65" t="str">
            <v>MXN</v>
          </cell>
          <cell r="F65">
            <v>-5663557.46</v>
          </cell>
          <cell r="G65">
            <v>10303864.189999999</v>
          </cell>
          <cell r="H65">
            <v>6177881.04</v>
          </cell>
          <cell r="I65">
            <v>-1537574.31</v>
          </cell>
        </row>
        <row r="66">
          <cell r="C66">
            <v>4226</v>
          </cell>
          <cell r="E66" t="str">
            <v>MXN</v>
          </cell>
          <cell r="F66">
            <v>-13237452.15</v>
          </cell>
          <cell r="G66">
            <v>20520374.579999998</v>
          </cell>
          <cell r="H66">
            <v>14330898.17</v>
          </cell>
          <cell r="I66">
            <v>-7047975.7400000002</v>
          </cell>
        </row>
        <row r="67">
          <cell r="C67">
            <v>4305</v>
          </cell>
          <cell r="E67" t="str">
            <v>MXN</v>
          </cell>
          <cell r="F67">
            <v>-2894504.46</v>
          </cell>
          <cell r="G67">
            <v>16496364.949999999</v>
          </cell>
          <cell r="H67">
            <v>15512375.18</v>
          </cell>
          <cell r="I67">
            <v>-1910514.69</v>
          </cell>
        </row>
        <row r="68">
          <cell r="C68">
            <v>4423</v>
          </cell>
          <cell r="E68" t="str">
            <v>MXN</v>
          </cell>
          <cell r="F68">
            <v>-56058881.159999996</v>
          </cell>
          <cell r="G68">
            <v>146568697.77000001</v>
          </cell>
          <cell r="H68">
            <v>118250211.43000001</v>
          </cell>
          <cell r="I68">
            <v>-27740394.82</v>
          </cell>
        </row>
        <row r="69">
          <cell r="C69">
            <v>4437</v>
          </cell>
          <cell r="E69" t="str">
            <v>MXN</v>
          </cell>
          <cell r="F69">
            <v>-339080.46</v>
          </cell>
          <cell r="G69">
            <v>2221902.4300000002</v>
          </cell>
          <cell r="H69">
            <v>2063679.2</v>
          </cell>
          <cell r="I69">
            <v>-180857.23</v>
          </cell>
        </row>
        <row r="70">
          <cell r="C70">
            <v>4502</v>
          </cell>
          <cell r="E70" t="str">
            <v>MXN</v>
          </cell>
          <cell r="F70">
            <v>-1777864.43</v>
          </cell>
          <cell r="G70">
            <v>6429423.9000000004</v>
          </cell>
          <cell r="H70">
            <v>6019553.9699999997</v>
          </cell>
          <cell r="I70">
            <v>-1367994.5</v>
          </cell>
        </row>
        <row r="71">
          <cell r="C71">
            <v>4830</v>
          </cell>
          <cell r="E71" t="str">
            <v>MXN</v>
          </cell>
          <cell r="F71">
            <v>-4137971.15</v>
          </cell>
          <cell r="G71">
            <v>10211533.51</v>
          </cell>
          <cell r="H71">
            <v>8067417.54</v>
          </cell>
          <cell r="I71">
            <v>-1993855.18</v>
          </cell>
        </row>
        <row r="72">
          <cell r="C72">
            <v>5330</v>
          </cell>
          <cell r="E72" t="str">
            <v>MXN</v>
          </cell>
          <cell r="F72">
            <v>-40855198.399999999</v>
          </cell>
          <cell r="G72">
            <v>43436789.590000004</v>
          </cell>
          <cell r="H72">
            <v>5097511.0999999996</v>
          </cell>
          <cell r="I72">
            <v>-2515919.91</v>
          </cell>
        </row>
        <row r="73">
          <cell r="C73">
            <v>5462</v>
          </cell>
          <cell r="E73" t="str">
            <v>MXN</v>
          </cell>
          <cell r="F73">
            <v>-470078342.44999999</v>
          </cell>
          <cell r="G73">
            <v>1536989445.9200001</v>
          </cell>
          <cell r="H73">
            <v>1487886311.97</v>
          </cell>
          <cell r="I73">
            <v>-420975208.5</v>
          </cell>
        </row>
        <row r="74">
          <cell r="C74">
            <v>5614</v>
          </cell>
          <cell r="E74" t="str">
            <v>MXN</v>
          </cell>
          <cell r="F74">
            <v>-2615083.2200000002</v>
          </cell>
          <cell r="G74">
            <v>4113617.6</v>
          </cell>
          <cell r="H74">
            <v>1514814.46</v>
          </cell>
          <cell r="I74">
            <v>-16280.08</v>
          </cell>
        </row>
        <row r="75">
          <cell r="C75">
            <v>5629</v>
          </cell>
          <cell r="E75" t="str">
            <v>MXN</v>
          </cell>
          <cell r="F75">
            <v>-43295402.060000002</v>
          </cell>
          <cell r="G75">
            <v>80731075.079999998</v>
          </cell>
          <cell r="H75">
            <v>52534364.840000004</v>
          </cell>
          <cell r="I75">
            <v>-15098691.82</v>
          </cell>
        </row>
        <row r="76">
          <cell r="C76">
            <v>5684</v>
          </cell>
          <cell r="E76" t="str">
            <v>MXN</v>
          </cell>
          <cell r="F76">
            <v>-14946740.470000001</v>
          </cell>
          <cell r="G76">
            <v>41837478.159999996</v>
          </cell>
          <cell r="H76">
            <v>41117337.590000004</v>
          </cell>
          <cell r="I76">
            <v>-14226599.9</v>
          </cell>
        </row>
        <row r="77">
          <cell r="C77">
            <v>5766</v>
          </cell>
          <cell r="E77" t="str">
            <v>MXN</v>
          </cell>
          <cell r="F77">
            <v>-6309497.7599999998</v>
          </cell>
          <cell r="G77">
            <v>34824753.289999999</v>
          </cell>
          <cell r="H77">
            <v>54195226.009999998</v>
          </cell>
          <cell r="I77">
            <v>-25679970.48</v>
          </cell>
        </row>
        <row r="78">
          <cell r="C78">
            <v>5967</v>
          </cell>
          <cell r="E78" t="str">
            <v>MXN</v>
          </cell>
          <cell r="F78">
            <v>-2980960.94</v>
          </cell>
          <cell r="G78">
            <v>3928868.65</v>
          </cell>
          <cell r="H78">
            <v>3783804.09</v>
          </cell>
          <cell r="I78">
            <v>-2835896.38</v>
          </cell>
        </row>
        <row r="79">
          <cell r="C79">
            <v>6052</v>
          </cell>
          <cell r="E79" t="str">
            <v>MXN</v>
          </cell>
          <cell r="F79">
            <v>-425485.87</v>
          </cell>
          <cell r="G79">
            <v>1203045.52</v>
          </cell>
          <cell r="H79">
            <v>1244452.94</v>
          </cell>
          <cell r="I79">
            <v>-466893.29</v>
          </cell>
        </row>
        <row r="80">
          <cell r="C80">
            <v>6182</v>
          </cell>
          <cell r="E80" t="str">
            <v>MXN</v>
          </cell>
          <cell r="F80">
            <v>-5392508.2699999996</v>
          </cell>
          <cell r="G80">
            <v>34890550.189999998</v>
          </cell>
          <cell r="H80">
            <v>33855423.049999997</v>
          </cell>
          <cell r="I80">
            <v>-4357381.13</v>
          </cell>
        </row>
        <row r="81">
          <cell r="C81">
            <v>6256</v>
          </cell>
          <cell r="E81" t="str">
            <v>MXN</v>
          </cell>
          <cell r="F81">
            <v>-2174332.7999999998</v>
          </cell>
          <cell r="G81">
            <v>3943525.69</v>
          </cell>
          <cell r="H81">
            <v>2881474.55</v>
          </cell>
          <cell r="I81">
            <v>-1112281.6599999999</v>
          </cell>
        </row>
        <row r="82">
          <cell r="C82">
            <v>6346</v>
          </cell>
          <cell r="E82" t="str">
            <v>MXN</v>
          </cell>
          <cell r="F82">
            <v>-11790483.630000001</v>
          </cell>
          <cell r="G82">
            <v>44889062.850000001</v>
          </cell>
          <cell r="H82">
            <v>50729414.899999999</v>
          </cell>
          <cell r="I82">
            <v>-17630835.68</v>
          </cell>
        </row>
        <row r="83">
          <cell r="C83">
            <v>6348</v>
          </cell>
          <cell r="E83" t="str">
            <v>MXN</v>
          </cell>
          <cell r="F83">
            <v>-16943398.5</v>
          </cell>
          <cell r="G83">
            <v>28030857.760000002</v>
          </cell>
          <cell r="H83">
            <v>12251670.6</v>
          </cell>
          <cell r="I83">
            <v>-1164211.3400000001</v>
          </cell>
        </row>
        <row r="84">
          <cell r="C84">
            <v>6366</v>
          </cell>
          <cell r="E84" t="str">
            <v>MXN</v>
          </cell>
          <cell r="F84">
            <v>-197261.01</v>
          </cell>
          <cell r="G84">
            <v>1014663.4</v>
          </cell>
          <cell r="H84">
            <v>846235</v>
          </cell>
          <cell r="I84">
            <v>-28832.61</v>
          </cell>
        </row>
        <row r="85">
          <cell r="C85">
            <v>6470</v>
          </cell>
          <cell r="E85" t="str">
            <v>MXN</v>
          </cell>
          <cell r="F85">
            <v>-2475749.69</v>
          </cell>
          <cell r="G85">
            <v>4721362.32</v>
          </cell>
          <cell r="H85">
            <v>3876841.5</v>
          </cell>
          <cell r="I85">
            <v>-1631228.87</v>
          </cell>
        </row>
        <row r="86">
          <cell r="C86">
            <v>6828</v>
          </cell>
          <cell r="E86" t="str">
            <v>MXN</v>
          </cell>
          <cell r="F86">
            <v>-536373.97</v>
          </cell>
          <cell r="G86">
            <v>3028801.66</v>
          </cell>
          <cell r="H86">
            <v>3034357.53</v>
          </cell>
          <cell r="I86">
            <v>-541929.84</v>
          </cell>
        </row>
        <row r="87">
          <cell r="C87">
            <v>7034</v>
          </cell>
          <cell r="E87" t="str">
            <v>MXN</v>
          </cell>
          <cell r="F87">
            <v>-2054137.48</v>
          </cell>
          <cell r="G87">
            <v>3515411.89</v>
          </cell>
          <cell r="H87">
            <v>2126790.6</v>
          </cell>
          <cell r="I87">
            <v>-665516.18999999994</v>
          </cell>
        </row>
        <row r="88">
          <cell r="C88">
            <v>7112</v>
          </cell>
          <cell r="E88" t="str">
            <v>MXN</v>
          </cell>
          <cell r="F88">
            <v>-46404528.289999999</v>
          </cell>
          <cell r="G88">
            <v>76439439.219999999</v>
          </cell>
          <cell r="H88">
            <v>137777857.61000001</v>
          </cell>
          <cell r="I88">
            <v>-107742946.68000001</v>
          </cell>
        </row>
        <row r="89">
          <cell r="C89">
            <v>7410</v>
          </cell>
          <cell r="E89" t="str">
            <v>MXN</v>
          </cell>
          <cell r="F89">
            <v>-20390776.629999999</v>
          </cell>
          <cell r="G89">
            <v>34594391.509999998</v>
          </cell>
          <cell r="H89">
            <v>48276982.960000001</v>
          </cell>
          <cell r="I89">
            <v>-34073368.079999998</v>
          </cell>
        </row>
        <row r="90">
          <cell r="C90">
            <v>7542</v>
          </cell>
          <cell r="E90" t="str">
            <v>MXN</v>
          </cell>
          <cell r="F90">
            <v>-11293576.039999999</v>
          </cell>
          <cell r="G90">
            <v>29740578.68</v>
          </cell>
          <cell r="H90">
            <v>25903341.23</v>
          </cell>
          <cell r="I90">
            <v>-7456338.5899999999</v>
          </cell>
        </row>
        <row r="91">
          <cell r="C91">
            <v>7546</v>
          </cell>
          <cell r="E91" t="str">
            <v>MXN</v>
          </cell>
          <cell r="F91">
            <v>-430462.04</v>
          </cell>
          <cell r="G91">
            <v>1571446.85</v>
          </cell>
          <cell r="H91">
            <v>2778608.29</v>
          </cell>
          <cell r="I91">
            <v>-1637623.48</v>
          </cell>
        </row>
        <row r="92">
          <cell r="C92">
            <v>7606</v>
          </cell>
          <cell r="E92" t="str">
            <v>MXN</v>
          </cell>
          <cell r="F92">
            <v>-16061262.640000001</v>
          </cell>
          <cell r="G92">
            <v>21450259.949999999</v>
          </cell>
          <cell r="H92">
            <v>14255019.619999999</v>
          </cell>
          <cell r="I92">
            <v>-8866022.3100000005</v>
          </cell>
        </row>
        <row r="93">
          <cell r="C93">
            <v>7641</v>
          </cell>
          <cell r="E93" t="str">
            <v>MXN</v>
          </cell>
          <cell r="F93">
            <v>-1740047.02</v>
          </cell>
          <cell r="G93">
            <v>13647713.99</v>
          </cell>
          <cell r="H93">
            <v>12757721.43</v>
          </cell>
          <cell r="I93">
            <v>-850054.46</v>
          </cell>
        </row>
        <row r="94">
          <cell r="C94">
            <v>7673</v>
          </cell>
          <cell r="E94" t="str">
            <v>MXN</v>
          </cell>
          <cell r="F94">
            <v>-7579090.6500000004</v>
          </cell>
          <cell r="G94">
            <v>27223436.800000001</v>
          </cell>
          <cell r="H94">
            <v>22706981.649999999</v>
          </cell>
          <cell r="I94">
            <v>-3062635.5</v>
          </cell>
        </row>
        <row r="95">
          <cell r="C95">
            <v>7875</v>
          </cell>
          <cell r="E95" t="str">
            <v>MXN</v>
          </cell>
          <cell r="F95">
            <v>-26080715.280000001</v>
          </cell>
          <cell r="G95">
            <v>40973604.880000003</v>
          </cell>
          <cell r="H95">
            <v>17625219.550000001</v>
          </cell>
          <cell r="I95">
            <v>-2732329.95</v>
          </cell>
        </row>
        <row r="96">
          <cell r="C96">
            <v>7930</v>
          </cell>
          <cell r="E96" t="str">
            <v>MXN</v>
          </cell>
          <cell r="F96">
            <v>-390553.64</v>
          </cell>
          <cell r="G96">
            <v>452397.1</v>
          </cell>
          <cell r="H96">
            <v>10440</v>
          </cell>
          <cell r="I96">
            <v>51403.46</v>
          </cell>
        </row>
        <row r="97">
          <cell r="C97">
            <v>8029</v>
          </cell>
          <cell r="E97" t="str">
            <v>MXN</v>
          </cell>
          <cell r="F97">
            <v>-491202223.02999997</v>
          </cell>
          <cell r="G97">
            <v>1649095028.1900001</v>
          </cell>
          <cell r="H97">
            <v>2243312817.0100002</v>
          </cell>
          <cell r="I97">
            <v>-1085420011.8499999</v>
          </cell>
        </row>
        <row r="98">
          <cell r="C98">
            <v>8073</v>
          </cell>
          <cell r="E98" t="str">
            <v>MXN</v>
          </cell>
          <cell r="F98">
            <v>-23.2</v>
          </cell>
          <cell r="G98">
            <v>0</v>
          </cell>
          <cell r="H98">
            <v>0</v>
          </cell>
          <cell r="I98">
            <v>-23.2</v>
          </cell>
        </row>
        <row r="99">
          <cell r="C99">
            <v>8474</v>
          </cell>
          <cell r="E99" t="str">
            <v>MXN</v>
          </cell>
          <cell r="F99">
            <v>-9074021.5</v>
          </cell>
          <cell r="G99">
            <v>11238629.26</v>
          </cell>
          <cell r="H99">
            <v>4785512.32</v>
          </cell>
          <cell r="I99">
            <v>-2620904.56</v>
          </cell>
        </row>
        <row r="100">
          <cell r="C100">
            <v>8593</v>
          </cell>
          <cell r="E100" t="str">
            <v>MXN</v>
          </cell>
          <cell r="F100">
            <v>-31588485.73</v>
          </cell>
          <cell r="G100">
            <v>65277743.740000002</v>
          </cell>
          <cell r="H100">
            <v>34239376.409999996</v>
          </cell>
          <cell r="I100">
            <v>-550118.40000000002</v>
          </cell>
        </row>
        <row r="101">
          <cell r="C101">
            <v>8599</v>
          </cell>
          <cell r="E101" t="str">
            <v>MXN</v>
          </cell>
          <cell r="F101">
            <v>-3088975.56</v>
          </cell>
          <cell r="G101">
            <v>13957054</v>
          </cell>
          <cell r="H101">
            <v>14271686.220000001</v>
          </cell>
          <cell r="I101">
            <v>-3403607.78</v>
          </cell>
        </row>
        <row r="102">
          <cell r="C102">
            <v>8613</v>
          </cell>
          <cell r="E102" t="str">
            <v>MXN</v>
          </cell>
          <cell r="F102">
            <v>-12417617.470000001</v>
          </cell>
          <cell r="G102">
            <v>17821200.859999999</v>
          </cell>
          <cell r="H102">
            <v>22716635.879999999</v>
          </cell>
          <cell r="I102">
            <v>-17313052.489999998</v>
          </cell>
        </row>
        <row r="103">
          <cell r="C103">
            <v>8617</v>
          </cell>
          <cell r="E103" t="str">
            <v>MXN</v>
          </cell>
          <cell r="F103">
            <v>-1973223.44</v>
          </cell>
          <cell r="G103">
            <v>6456546.4400000004</v>
          </cell>
          <cell r="H103">
            <v>6832774.6500000004</v>
          </cell>
          <cell r="I103">
            <v>-2349451.65</v>
          </cell>
        </row>
        <row r="104">
          <cell r="C104">
            <v>8652</v>
          </cell>
          <cell r="E104" t="str">
            <v>MXN</v>
          </cell>
          <cell r="F104">
            <v>-4503506.46</v>
          </cell>
          <cell r="G104">
            <v>24688549.079999998</v>
          </cell>
          <cell r="H104">
            <v>27761012.030000001</v>
          </cell>
          <cell r="I104">
            <v>-7575969.4100000001</v>
          </cell>
        </row>
        <row r="105">
          <cell r="C105">
            <v>8767</v>
          </cell>
          <cell r="E105" t="str">
            <v>MXN</v>
          </cell>
          <cell r="F105">
            <v>-4129434.49</v>
          </cell>
          <cell r="G105">
            <v>8737375.3200000003</v>
          </cell>
          <cell r="H105">
            <v>5321020.09</v>
          </cell>
          <cell r="I105">
            <v>-713079.26</v>
          </cell>
        </row>
        <row r="106">
          <cell r="C106">
            <v>8859</v>
          </cell>
          <cell r="E106" t="str">
            <v>MXN</v>
          </cell>
          <cell r="F106">
            <v>-1060799.46</v>
          </cell>
          <cell r="G106">
            <v>1937032.51</v>
          </cell>
          <cell r="H106">
            <v>2515441.4700000002</v>
          </cell>
          <cell r="I106">
            <v>-1639208.42</v>
          </cell>
        </row>
        <row r="107">
          <cell r="C107">
            <v>8862</v>
          </cell>
          <cell r="E107" t="str">
            <v>MXN</v>
          </cell>
          <cell r="F107">
            <v>-129775041.09</v>
          </cell>
          <cell r="G107">
            <v>322031657</v>
          </cell>
          <cell r="H107">
            <v>332066443.08999997</v>
          </cell>
          <cell r="I107">
            <v>-139809827.18000001</v>
          </cell>
        </row>
        <row r="108">
          <cell r="C108">
            <v>8939</v>
          </cell>
          <cell r="E108" t="str">
            <v>MXN</v>
          </cell>
          <cell r="F108">
            <v>-4601121.6399999997</v>
          </cell>
          <cell r="G108">
            <v>30404054.75</v>
          </cell>
          <cell r="H108">
            <v>29860390.690000001</v>
          </cell>
          <cell r="I108">
            <v>-4057457.58</v>
          </cell>
        </row>
        <row r="109">
          <cell r="C109">
            <v>8991</v>
          </cell>
          <cell r="E109" t="str">
            <v>MXN</v>
          </cell>
          <cell r="F109">
            <v>-19512595.550000001</v>
          </cell>
          <cell r="G109">
            <v>68400648.390000001</v>
          </cell>
          <cell r="H109">
            <v>61362021.049999997</v>
          </cell>
          <cell r="I109">
            <v>-12473968.210000001</v>
          </cell>
        </row>
        <row r="110">
          <cell r="C110">
            <v>9175</v>
          </cell>
          <cell r="E110" t="str">
            <v>MXN</v>
          </cell>
          <cell r="F110">
            <v>-347541.98</v>
          </cell>
          <cell r="G110">
            <v>0</v>
          </cell>
          <cell r="H110">
            <v>0</v>
          </cell>
          <cell r="I110">
            <v>-347541.98</v>
          </cell>
        </row>
        <row r="111">
          <cell r="C111">
            <v>9202</v>
          </cell>
          <cell r="E111" t="str">
            <v>MXN</v>
          </cell>
          <cell r="F111">
            <v>-5383709.5</v>
          </cell>
          <cell r="G111">
            <v>17651617.149999999</v>
          </cell>
          <cell r="H111">
            <v>18232474.760000002</v>
          </cell>
          <cell r="I111">
            <v>-5964567.1100000003</v>
          </cell>
        </row>
        <row r="112">
          <cell r="C112">
            <v>9263</v>
          </cell>
          <cell r="E112" t="str">
            <v>MXN</v>
          </cell>
          <cell r="F112">
            <v>-9062009.0800000001</v>
          </cell>
          <cell r="G112">
            <v>15372101.84</v>
          </cell>
          <cell r="H112">
            <v>11663242.210000001</v>
          </cell>
          <cell r="I112">
            <v>-5353149.45</v>
          </cell>
        </row>
        <row r="113">
          <cell r="C113">
            <v>9264</v>
          </cell>
          <cell r="E113" t="str">
            <v>MXN</v>
          </cell>
          <cell r="F113">
            <v>-478483.96</v>
          </cell>
          <cell r="G113">
            <v>478483.96</v>
          </cell>
          <cell r="H113">
            <v>0</v>
          </cell>
          <cell r="I113">
            <v>0</v>
          </cell>
        </row>
        <row r="114">
          <cell r="C114">
            <v>9275</v>
          </cell>
          <cell r="E114" t="str">
            <v>MXN</v>
          </cell>
          <cell r="F114">
            <v>-3356464.5</v>
          </cell>
          <cell r="G114">
            <v>6256878.3499999996</v>
          </cell>
          <cell r="H114">
            <v>13384684.27</v>
          </cell>
          <cell r="I114">
            <v>-10484270.42</v>
          </cell>
        </row>
        <row r="115">
          <cell r="C115">
            <v>9348</v>
          </cell>
          <cell r="E115" t="str">
            <v>MXN</v>
          </cell>
          <cell r="F115">
            <v>-5839403.9199999999</v>
          </cell>
          <cell r="G115">
            <v>7176847.4299999997</v>
          </cell>
          <cell r="H115">
            <v>4432219.2</v>
          </cell>
          <cell r="I115">
            <v>-3094775.69</v>
          </cell>
        </row>
        <row r="116">
          <cell r="C116">
            <v>9381</v>
          </cell>
          <cell r="E116" t="str">
            <v>MXN</v>
          </cell>
          <cell r="F116">
            <v>-9962856.1500000004</v>
          </cell>
          <cell r="G116">
            <v>52961588.229999997</v>
          </cell>
          <cell r="H116">
            <v>80293497.280000001</v>
          </cell>
          <cell r="I116">
            <v>-37294765.200000003</v>
          </cell>
        </row>
        <row r="117">
          <cell r="C117">
            <v>9476</v>
          </cell>
          <cell r="E117" t="str">
            <v>MXN</v>
          </cell>
          <cell r="F117">
            <v>-168102.89</v>
          </cell>
          <cell r="G117">
            <v>245331.3</v>
          </cell>
          <cell r="H117">
            <v>75040.94</v>
          </cell>
          <cell r="I117">
            <v>2187.4699999999998</v>
          </cell>
        </row>
        <row r="118">
          <cell r="C118">
            <v>9506</v>
          </cell>
          <cell r="E118" t="str">
            <v>MXN</v>
          </cell>
          <cell r="F118">
            <v>-33111997.52</v>
          </cell>
          <cell r="G118">
            <v>74711681.019999996</v>
          </cell>
          <cell r="H118">
            <v>53017739.469999999</v>
          </cell>
          <cell r="I118">
            <v>-11418055.970000001</v>
          </cell>
        </row>
        <row r="119">
          <cell r="C119">
            <v>9580</v>
          </cell>
          <cell r="E119" t="str">
            <v>MXN</v>
          </cell>
          <cell r="F119">
            <v>-1474065.51</v>
          </cell>
          <cell r="G119">
            <v>4191611.82</v>
          </cell>
          <cell r="H119">
            <v>3913890.89</v>
          </cell>
          <cell r="I119">
            <v>-1196344.58</v>
          </cell>
        </row>
        <row r="120">
          <cell r="C120">
            <v>9589</v>
          </cell>
          <cell r="E120" t="str">
            <v>MXN</v>
          </cell>
          <cell r="F120">
            <v>-615019.02</v>
          </cell>
          <cell r="G120">
            <v>796904.74</v>
          </cell>
          <cell r="H120">
            <v>1154749.53</v>
          </cell>
          <cell r="I120">
            <v>-972863.81</v>
          </cell>
        </row>
        <row r="121">
          <cell r="C121">
            <v>9647</v>
          </cell>
          <cell r="E121" t="str">
            <v>MXN</v>
          </cell>
          <cell r="F121">
            <v>-241516285.18000001</v>
          </cell>
          <cell r="G121">
            <v>606594839.58000004</v>
          </cell>
          <cell r="H121">
            <v>727271475.73000002</v>
          </cell>
          <cell r="I121">
            <v>-362192921.32999998</v>
          </cell>
        </row>
        <row r="122">
          <cell r="C122">
            <v>9782</v>
          </cell>
          <cell r="E122" t="str">
            <v>MXN</v>
          </cell>
          <cell r="F122">
            <v>-1182578.3400000001</v>
          </cell>
          <cell r="G122">
            <v>3.14</v>
          </cell>
          <cell r="H122">
            <v>0</v>
          </cell>
          <cell r="I122">
            <v>-1182575.2</v>
          </cell>
        </row>
        <row r="123">
          <cell r="C123">
            <v>9943</v>
          </cell>
          <cell r="E123" t="str">
            <v>MXN</v>
          </cell>
          <cell r="F123">
            <v>-4600218.47</v>
          </cell>
          <cell r="G123">
            <v>11924296.43</v>
          </cell>
          <cell r="H123">
            <v>12105290.449999999</v>
          </cell>
          <cell r="I123">
            <v>-4781212.49</v>
          </cell>
        </row>
        <row r="124">
          <cell r="C124">
            <v>10348</v>
          </cell>
          <cell r="E124" t="str">
            <v>MXN</v>
          </cell>
          <cell r="F124">
            <v>-10519408.199999999</v>
          </cell>
          <cell r="G124">
            <v>17877067.949999999</v>
          </cell>
          <cell r="H124">
            <v>22242451.550000001</v>
          </cell>
          <cell r="I124">
            <v>-14884791.800000001</v>
          </cell>
        </row>
        <row r="125">
          <cell r="C125">
            <v>10426</v>
          </cell>
          <cell r="E125" t="str">
            <v>MXN</v>
          </cell>
          <cell r="F125">
            <v>-461579.41</v>
          </cell>
          <cell r="G125">
            <v>981926.72</v>
          </cell>
          <cell r="H125">
            <v>843109.17</v>
          </cell>
          <cell r="I125">
            <v>-322761.86</v>
          </cell>
        </row>
        <row r="126">
          <cell r="C126">
            <v>10510</v>
          </cell>
          <cell r="E126" t="str">
            <v>MXN</v>
          </cell>
          <cell r="F126">
            <v>-35280258.140000001</v>
          </cell>
          <cell r="G126">
            <v>69641825.980000004</v>
          </cell>
          <cell r="H126">
            <v>116206091.54000001</v>
          </cell>
          <cell r="I126">
            <v>-81844523.700000003</v>
          </cell>
        </row>
        <row r="127">
          <cell r="C127">
            <v>10704</v>
          </cell>
          <cell r="E127" t="str">
            <v>MXN</v>
          </cell>
          <cell r="F127">
            <v>-43915.49</v>
          </cell>
          <cell r="G127">
            <v>0</v>
          </cell>
          <cell r="H127">
            <v>0</v>
          </cell>
          <cell r="I127">
            <v>-43915.49</v>
          </cell>
        </row>
        <row r="128">
          <cell r="C128">
            <v>10822</v>
          </cell>
          <cell r="E128" t="str">
            <v>MXN</v>
          </cell>
          <cell r="F128">
            <v>-728547.22</v>
          </cell>
          <cell r="G128">
            <v>1092894.82</v>
          </cell>
          <cell r="H128">
            <v>1186188.3799999999</v>
          </cell>
          <cell r="I128">
            <v>-821840.78</v>
          </cell>
        </row>
        <row r="129">
          <cell r="C129">
            <v>10948</v>
          </cell>
          <cell r="E129" t="str">
            <v>MXN</v>
          </cell>
          <cell r="F129">
            <v>550.97</v>
          </cell>
          <cell r="G129">
            <v>31239.35</v>
          </cell>
          <cell r="H129">
            <v>0</v>
          </cell>
          <cell r="I129">
            <v>31790.32</v>
          </cell>
        </row>
        <row r="130">
          <cell r="C130">
            <v>11042</v>
          </cell>
          <cell r="E130" t="str">
            <v>MXN</v>
          </cell>
          <cell r="F130">
            <v>-37315359.759999998</v>
          </cell>
          <cell r="G130">
            <v>48548992.93</v>
          </cell>
          <cell r="H130">
            <v>52693580.289999999</v>
          </cell>
          <cell r="I130">
            <v>-41459947.119999997</v>
          </cell>
        </row>
        <row r="131">
          <cell r="C131">
            <v>11077</v>
          </cell>
          <cell r="E131" t="str">
            <v>MXN</v>
          </cell>
          <cell r="F131">
            <v>-2359200.19</v>
          </cell>
          <cell r="G131">
            <v>18838797.079999998</v>
          </cell>
          <cell r="H131">
            <v>23067274.93</v>
          </cell>
          <cell r="I131">
            <v>-6587678.04</v>
          </cell>
        </row>
        <row r="132">
          <cell r="C132">
            <v>11160</v>
          </cell>
          <cell r="E132" t="str">
            <v>MXN</v>
          </cell>
          <cell r="F132">
            <v>-1914901.12</v>
          </cell>
          <cell r="G132">
            <v>7487004.1600000001</v>
          </cell>
          <cell r="H132">
            <v>9565608.1600000001</v>
          </cell>
          <cell r="I132">
            <v>-3993505.12</v>
          </cell>
        </row>
        <row r="133">
          <cell r="C133">
            <v>11178</v>
          </cell>
          <cell r="E133" t="str">
            <v>MXN</v>
          </cell>
          <cell r="F133">
            <v>-4796480.49</v>
          </cell>
          <cell r="G133">
            <v>15197042.41</v>
          </cell>
          <cell r="H133">
            <v>12691084.16</v>
          </cell>
          <cell r="I133">
            <v>-2290522.2400000002</v>
          </cell>
        </row>
        <row r="134">
          <cell r="C134">
            <v>11361</v>
          </cell>
          <cell r="E134" t="str">
            <v>MXN</v>
          </cell>
          <cell r="F134">
            <v>-16860192.59</v>
          </cell>
          <cell r="G134">
            <v>55367686.469999999</v>
          </cell>
          <cell r="H134">
            <v>44362756.299999997</v>
          </cell>
          <cell r="I134">
            <v>-5855262.4199999999</v>
          </cell>
        </row>
        <row r="135">
          <cell r="C135">
            <v>11423</v>
          </cell>
          <cell r="E135" t="str">
            <v>MXN</v>
          </cell>
          <cell r="F135">
            <v>-4327276.26</v>
          </cell>
          <cell r="G135">
            <v>12327309.18</v>
          </cell>
          <cell r="H135">
            <v>8637247.9399999995</v>
          </cell>
          <cell r="I135">
            <v>-637215.02</v>
          </cell>
        </row>
        <row r="136">
          <cell r="C136">
            <v>11544</v>
          </cell>
          <cell r="E136" t="str">
            <v>MXN</v>
          </cell>
          <cell r="F136">
            <v>-19079519.870000001</v>
          </cell>
          <cell r="G136">
            <v>50703867.740000002</v>
          </cell>
          <cell r="H136">
            <v>46905137.979999997</v>
          </cell>
          <cell r="I136">
            <v>-15280790.109999999</v>
          </cell>
        </row>
        <row r="137">
          <cell r="C137">
            <v>11601</v>
          </cell>
          <cell r="E137" t="str">
            <v>MXN</v>
          </cell>
          <cell r="F137">
            <v>-2891737.34</v>
          </cell>
          <cell r="G137">
            <v>5947431.8499999996</v>
          </cell>
          <cell r="H137">
            <v>7923853.0199999996</v>
          </cell>
          <cell r="I137">
            <v>-4868158.51</v>
          </cell>
        </row>
        <row r="138">
          <cell r="C138">
            <v>11619</v>
          </cell>
          <cell r="E138" t="str">
            <v>MXN</v>
          </cell>
          <cell r="F138">
            <v>-7390164.0800000001</v>
          </cell>
          <cell r="G138">
            <v>12225456.77</v>
          </cell>
          <cell r="H138">
            <v>11309825.66</v>
          </cell>
          <cell r="I138">
            <v>-6474532.9699999997</v>
          </cell>
        </row>
        <row r="139">
          <cell r="C139">
            <v>11621</v>
          </cell>
          <cell r="E139" t="str">
            <v>MXN</v>
          </cell>
          <cell r="F139">
            <v>-95137994.810000002</v>
          </cell>
          <cell r="G139">
            <v>117767546.44</v>
          </cell>
          <cell r="H139">
            <v>43650173.789999999</v>
          </cell>
          <cell r="I139">
            <v>-21020622.16</v>
          </cell>
        </row>
        <row r="140">
          <cell r="C140">
            <v>11643</v>
          </cell>
          <cell r="E140" t="str">
            <v>MXN</v>
          </cell>
          <cell r="F140">
            <v>-1597581.22</v>
          </cell>
          <cell r="G140">
            <v>3357926.19</v>
          </cell>
          <cell r="H140">
            <v>2693837.41</v>
          </cell>
          <cell r="I140">
            <v>-933492.44</v>
          </cell>
        </row>
        <row r="141">
          <cell r="C141">
            <v>11716</v>
          </cell>
          <cell r="E141" t="str">
            <v>MXN</v>
          </cell>
          <cell r="F141">
            <v>-2397478.2799999998</v>
          </cell>
          <cell r="G141">
            <v>5752029.9500000002</v>
          </cell>
          <cell r="H141">
            <v>4085263.54</v>
          </cell>
          <cell r="I141">
            <v>-730711.87</v>
          </cell>
        </row>
        <row r="142">
          <cell r="C142">
            <v>11784</v>
          </cell>
          <cell r="E142" t="str">
            <v>MXN</v>
          </cell>
          <cell r="F142">
            <v>-6764461.25</v>
          </cell>
          <cell r="G142">
            <v>9510897.6400000006</v>
          </cell>
          <cell r="H142">
            <v>5875380.7300000004</v>
          </cell>
          <cell r="I142">
            <v>-3128944.34</v>
          </cell>
        </row>
        <row r="143">
          <cell r="C143">
            <v>11874</v>
          </cell>
          <cell r="E143" t="str">
            <v>MXN</v>
          </cell>
          <cell r="F143">
            <v>-2570562.21</v>
          </cell>
          <cell r="G143">
            <v>5445485.5700000003</v>
          </cell>
          <cell r="H143">
            <v>3624762.56</v>
          </cell>
          <cell r="I143">
            <v>-749839.2</v>
          </cell>
        </row>
        <row r="144">
          <cell r="C144">
            <v>11876</v>
          </cell>
          <cell r="E144" t="str">
            <v>MXN</v>
          </cell>
          <cell r="F144">
            <v>-6260171.1399999997</v>
          </cell>
          <cell r="G144">
            <v>14867310.42</v>
          </cell>
          <cell r="H144">
            <v>13694766.189999999</v>
          </cell>
          <cell r="I144">
            <v>-5087626.91</v>
          </cell>
        </row>
        <row r="145">
          <cell r="C145">
            <v>11914</v>
          </cell>
          <cell r="E145" t="str">
            <v>MXN</v>
          </cell>
          <cell r="F145">
            <v>-5934430.75</v>
          </cell>
          <cell r="G145">
            <v>32803690.550000001</v>
          </cell>
          <cell r="H145">
            <v>48105536.600000001</v>
          </cell>
          <cell r="I145">
            <v>-21236276.800000001</v>
          </cell>
        </row>
        <row r="146">
          <cell r="C146">
            <v>11949</v>
          </cell>
          <cell r="E146" t="str">
            <v>MXN</v>
          </cell>
          <cell r="F146">
            <v>-77427636.859999999</v>
          </cell>
          <cell r="G146">
            <v>112024575.12</v>
          </cell>
          <cell r="H146">
            <v>136473095.87</v>
          </cell>
          <cell r="I146">
            <v>-101876157.61</v>
          </cell>
        </row>
        <row r="147">
          <cell r="C147">
            <v>11999</v>
          </cell>
          <cell r="E147" t="str">
            <v>MXN</v>
          </cell>
          <cell r="F147">
            <v>-2773941.28</v>
          </cell>
          <cell r="G147">
            <v>8457260.4299999997</v>
          </cell>
          <cell r="H147">
            <v>6918332.9500000002</v>
          </cell>
          <cell r="I147">
            <v>-1235013.8</v>
          </cell>
        </row>
        <row r="148">
          <cell r="C148">
            <v>12186</v>
          </cell>
          <cell r="E148" t="str">
            <v>MXN</v>
          </cell>
          <cell r="F148">
            <v>-5004792.4000000004</v>
          </cell>
          <cell r="G148">
            <v>11974421.99</v>
          </cell>
          <cell r="H148">
            <v>8284889.4000000004</v>
          </cell>
          <cell r="I148">
            <v>-1315259.81</v>
          </cell>
        </row>
        <row r="149">
          <cell r="C149">
            <v>12229</v>
          </cell>
          <cell r="E149" t="str">
            <v>MXN</v>
          </cell>
          <cell r="F149">
            <v>-8380425.4699999997</v>
          </cell>
          <cell r="G149">
            <v>19586592.760000002</v>
          </cell>
          <cell r="H149">
            <v>20653284.629999999</v>
          </cell>
          <cell r="I149">
            <v>-9447117.3399999999</v>
          </cell>
        </row>
        <row r="150">
          <cell r="C150">
            <v>12365</v>
          </cell>
          <cell r="E150" t="str">
            <v>MXN</v>
          </cell>
          <cell r="F150">
            <v>-375567.16</v>
          </cell>
          <cell r="G150">
            <v>1219281.3400000001</v>
          </cell>
          <cell r="H150">
            <v>1386609.36</v>
          </cell>
          <cell r="I150">
            <v>-542895.18000000005</v>
          </cell>
        </row>
        <row r="151">
          <cell r="C151">
            <v>12480</v>
          </cell>
          <cell r="E151" t="str">
            <v>MXN</v>
          </cell>
          <cell r="F151">
            <v>-15485318.9</v>
          </cell>
          <cell r="G151">
            <v>32141930.079999998</v>
          </cell>
          <cell r="H151">
            <v>37191105.539999999</v>
          </cell>
          <cell r="I151">
            <v>-20534494.359999999</v>
          </cell>
        </row>
        <row r="152">
          <cell r="C152">
            <v>12500</v>
          </cell>
          <cell r="E152" t="str">
            <v>MXN</v>
          </cell>
          <cell r="F152">
            <v>-244960.49</v>
          </cell>
          <cell r="G152">
            <v>36048189.450000003</v>
          </cell>
          <cell r="H152">
            <v>37070688.340000004</v>
          </cell>
          <cell r="I152">
            <v>-1267459.3799999999</v>
          </cell>
        </row>
        <row r="153">
          <cell r="C153">
            <v>12511</v>
          </cell>
          <cell r="E153" t="str">
            <v>MXN</v>
          </cell>
          <cell r="F153">
            <v>-32051721.140000001</v>
          </cell>
          <cell r="G153">
            <v>108419443.98</v>
          </cell>
          <cell r="H153">
            <v>85442379.75</v>
          </cell>
          <cell r="I153">
            <v>-9074656.9100000001</v>
          </cell>
        </row>
        <row r="154">
          <cell r="C154">
            <v>12518</v>
          </cell>
          <cell r="E154" t="str">
            <v>MXN</v>
          </cell>
          <cell r="F154">
            <v>-21992301.629999999</v>
          </cell>
          <cell r="G154">
            <v>26253932.280000001</v>
          </cell>
          <cell r="H154">
            <v>18669921.510000002</v>
          </cell>
          <cell r="I154">
            <v>-14408290.859999999</v>
          </cell>
        </row>
        <row r="155">
          <cell r="C155">
            <v>12560</v>
          </cell>
          <cell r="E155" t="str">
            <v>MXN</v>
          </cell>
          <cell r="F155">
            <v>-7840970.8300000001</v>
          </cell>
          <cell r="G155">
            <v>17146466.460000001</v>
          </cell>
          <cell r="H155">
            <v>30305435.359999999</v>
          </cell>
          <cell r="I155">
            <v>-20999939.73</v>
          </cell>
        </row>
        <row r="156">
          <cell r="C156">
            <v>12699</v>
          </cell>
          <cell r="E156" t="str">
            <v>MXN</v>
          </cell>
          <cell r="F156">
            <v>-724213.23</v>
          </cell>
          <cell r="G156">
            <v>2045440.27</v>
          </cell>
          <cell r="H156">
            <v>1311543.19</v>
          </cell>
          <cell r="I156">
            <v>9683.85</v>
          </cell>
        </row>
        <row r="157">
          <cell r="C157">
            <v>12700</v>
          </cell>
          <cell r="E157" t="str">
            <v>MXN</v>
          </cell>
          <cell r="F157">
            <v>-1930808.3</v>
          </cell>
          <cell r="G157">
            <v>3916027.29</v>
          </cell>
          <cell r="H157">
            <v>3528210.01</v>
          </cell>
          <cell r="I157">
            <v>-1542991.02</v>
          </cell>
        </row>
        <row r="158">
          <cell r="C158">
            <v>12701</v>
          </cell>
          <cell r="E158" t="str">
            <v>MXN</v>
          </cell>
          <cell r="F158">
            <v>-1371903.83</v>
          </cell>
          <cell r="G158">
            <v>2736009.94</v>
          </cell>
          <cell r="H158">
            <v>2560650</v>
          </cell>
          <cell r="I158">
            <v>-1196543.8899999999</v>
          </cell>
        </row>
        <row r="159">
          <cell r="C159">
            <v>12728</v>
          </cell>
          <cell r="E159" t="str">
            <v>MXN</v>
          </cell>
          <cell r="F159">
            <v>-31589580.989999998</v>
          </cell>
          <cell r="G159">
            <v>93435037.650000006</v>
          </cell>
          <cell r="H159">
            <v>65774945.579999998</v>
          </cell>
          <cell r="I159">
            <v>-3929488.92</v>
          </cell>
        </row>
        <row r="160">
          <cell r="C160">
            <v>12995</v>
          </cell>
          <cell r="E160" t="str">
            <v>MXN</v>
          </cell>
          <cell r="F160">
            <v>-977788.73</v>
          </cell>
          <cell r="G160">
            <v>2122655.4300000002</v>
          </cell>
          <cell r="H160">
            <v>1923073.37</v>
          </cell>
          <cell r="I160">
            <v>-778206.67</v>
          </cell>
        </row>
        <row r="161">
          <cell r="C161">
            <v>13111</v>
          </cell>
          <cell r="E161" t="str">
            <v>MXN</v>
          </cell>
          <cell r="F161">
            <v>-31117257.25</v>
          </cell>
          <cell r="G161">
            <v>39899744.299999997</v>
          </cell>
          <cell r="H161">
            <v>16095216.119999999</v>
          </cell>
          <cell r="I161">
            <v>-7312729.0700000003</v>
          </cell>
        </row>
        <row r="162">
          <cell r="C162">
            <v>13498</v>
          </cell>
          <cell r="E162" t="str">
            <v>MXN</v>
          </cell>
          <cell r="F162">
            <v>-13555978.51</v>
          </cell>
          <cell r="G162">
            <v>44535659.359999999</v>
          </cell>
          <cell r="H162">
            <v>41306285.829999998</v>
          </cell>
          <cell r="I162">
            <v>-10326604.98</v>
          </cell>
        </row>
        <row r="163">
          <cell r="C163">
            <v>13611</v>
          </cell>
          <cell r="E163" t="str">
            <v>MXN</v>
          </cell>
          <cell r="F163">
            <v>-571484.4</v>
          </cell>
          <cell r="G163">
            <v>1290209.56</v>
          </cell>
          <cell r="H163">
            <v>775001.25</v>
          </cell>
          <cell r="I163">
            <v>-56276.09</v>
          </cell>
        </row>
        <row r="164">
          <cell r="C164">
            <v>13642</v>
          </cell>
          <cell r="E164" t="str">
            <v>MXN</v>
          </cell>
          <cell r="F164">
            <v>-13833662.359999999</v>
          </cell>
          <cell r="G164">
            <v>30718252.510000002</v>
          </cell>
          <cell r="H164">
            <v>19488220.739999998</v>
          </cell>
          <cell r="I164">
            <v>-2603630.59</v>
          </cell>
        </row>
        <row r="165">
          <cell r="C165">
            <v>13662</v>
          </cell>
          <cell r="E165" t="str">
            <v>MXN</v>
          </cell>
          <cell r="F165">
            <v>-757498.61</v>
          </cell>
          <cell r="G165">
            <v>1295398.71</v>
          </cell>
          <cell r="H165">
            <v>1173464.8700000001</v>
          </cell>
          <cell r="I165">
            <v>-635564.77</v>
          </cell>
        </row>
        <row r="166">
          <cell r="C166">
            <v>13773</v>
          </cell>
          <cell r="E166" t="str">
            <v>MXN</v>
          </cell>
          <cell r="F166">
            <v>-262395.15999999997</v>
          </cell>
          <cell r="G166">
            <v>442012.2</v>
          </cell>
          <cell r="H166">
            <v>21369.98</v>
          </cell>
          <cell r="I166">
            <v>158247.06</v>
          </cell>
        </row>
        <row r="167">
          <cell r="C167">
            <v>13835</v>
          </cell>
          <cell r="E167" t="str">
            <v>MXN</v>
          </cell>
          <cell r="F167">
            <v>-24642398.539999999</v>
          </cell>
          <cell r="G167">
            <v>129128547.48</v>
          </cell>
          <cell r="H167">
            <v>116396401.63</v>
          </cell>
          <cell r="I167">
            <v>-11910252.689999999</v>
          </cell>
        </row>
        <row r="168">
          <cell r="C168">
            <v>13860</v>
          </cell>
          <cell r="E168" t="str">
            <v>MXN</v>
          </cell>
          <cell r="F168">
            <v>-31981701.120000001</v>
          </cell>
          <cell r="G168">
            <v>32819532</v>
          </cell>
          <cell r="H168">
            <v>1121107.8</v>
          </cell>
          <cell r="I168">
            <v>-283276.92</v>
          </cell>
        </row>
        <row r="169">
          <cell r="C169">
            <v>13888</v>
          </cell>
          <cell r="E169" t="str">
            <v>MXN</v>
          </cell>
          <cell r="F169">
            <v>-1920331.93</v>
          </cell>
          <cell r="G169">
            <v>9869068.0600000005</v>
          </cell>
          <cell r="H169">
            <v>9897272.1799999997</v>
          </cell>
          <cell r="I169">
            <v>-1948536.05</v>
          </cell>
        </row>
        <row r="170">
          <cell r="C170">
            <v>14293</v>
          </cell>
          <cell r="E170" t="str">
            <v>MXN</v>
          </cell>
          <cell r="F170">
            <v>-36701020.170000002</v>
          </cell>
          <cell r="G170">
            <v>82269093.689999998</v>
          </cell>
          <cell r="H170">
            <v>64242021.420000002</v>
          </cell>
          <cell r="I170">
            <v>-18673947.899999999</v>
          </cell>
        </row>
        <row r="171">
          <cell r="C171">
            <v>14296</v>
          </cell>
          <cell r="E171" t="str">
            <v>MXN</v>
          </cell>
          <cell r="F171">
            <v>-6983394.7800000003</v>
          </cell>
          <cell r="G171">
            <v>16699532.640000001</v>
          </cell>
          <cell r="H171">
            <v>12791766.82</v>
          </cell>
          <cell r="I171">
            <v>-3075628.96</v>
          </cell>
        </row>
        <row r="172">
          <cell r="C172">
            <v>14311</v>
          </cell>
          <cell r="E172" t="str">
            <v>MXN</v>
          </cell>
          <cell r="F172">
            <v>-9935902.9199999999</v>
          </cell>
          <cell r="G172">
            <v>13993364.859999999</v>
          </cell>
          <cell r="H172">
            <v>6595278.7999999998</v>
          </cell>
          <cell r="I172">
            <v>-2537816.86</v>
          </cell>
        </row>
        <row r="173">
          <cell r="C173">
            <v>14370</v>
          </cell>
          <cell r="E173" t="str">
            <v>MXN</v>
          </cell>
          <cell r="F173">
            <v>-5384967.9699999997</v>
          </cell>
          <cell r="G173">
            <v>19521809.170000002</v>
          </cell>
          <cell r="H173">
            <v>15902188</v>
          </cell>
          <cell r="I173">
            <v>-1765346.8</v>
          </cell>
        </row>
        <row r="174">
          <cell r="C174">
            <v>14482</v>
          </cell>
          <cell r="E174" t="str">
            <v>MXN</v>
          </cell>
          <cell r="F174">
            <v>-1855712.93</v>
          </cell>
          <cell r="G174">
            <v>885770.18</v>
          </cell>
          <cell r="H174">
            <v>585221.49</v>
          </cell>
          <cell r="I174">
            <v>-1555164.24</v>
          </cell>
        </row>
        <row r="175">
          <cell r="C175">
            <v>14535</v>
          </cell>
          <cell r="E175" t="str">
            <v>MXN</v>
          </cell>
          <cell r="F175">
            <v>-10540137.42</v>
          </cell>
          <cell r="G175">
            <v>44239550.770000003</v>
          </cell>
          <cell r="H175">
            <v>48789874.359999999</v>
          </cell>
          <cell r="I175">
            <v>-15090461.01</v>
          </cell>
        </row>
        <row r="176">
          <cell r="C176">
            <v>14833</v>
          </cell>
          <cell r="E176" t="str">
            <v>MXN</v>
          </cell>
          <cell r="F176">
            <v>-7192737.5599999996</v>
          </cell>
          <cell r="G176">
            <v>21228434.43</v>
          </cell>
          <cell r="H176">
            <v>17393252.949999999</v>
          </cell>
          <cell r="I176">
            <v>-3357556.08</v>
          </cell>
        </row>
        <row r="177">
          <cell r="C177">
            <v>14951</v>
          </cell>
          <cell r="E177" t="str">
            <v>MXN</v>
          </cell>
          <cell r="F177">
            <v>-520719.27</v>
          </cell>
          <cell r="G177">
            <v>35198.71</v>
          </cell>
          <cell r="H177">
            <v>93.72</v>
          </cell>
          <cell r="I177">
            <v>-485614.28</v>
          </cell>
        </row>
        <row r="178">
          <cell r="C178">
            <v>15191</v>
          </cell>
          <cell r="E178" t="str">
            <v>MXN</v>
          </cell>
          <cell r="F178">
            <v>-4937227.8499999996</v>
          </cell>
          <cell r="G178">
            <v>5252587.8499999996</v>
          </cell>
          <cell r="H178">
            <v>315360</v>
          </cell>
          <cell r="I178">
            <v>0</v>
          </cell>
        </row>
        <row r="179">
          <cell r="C179">
            <v>15329</v>
          </cell>
          <cell r="E179" t="str">
            <v>MXN</v>
          </cell>
          <cell r="F179">
            <v>-6777303.0499999998</v>
          </cell>
          <cell r="G179">
            <v>21980936.82</v>
          </cell>
          <cell r="H179">
            <v>18207656.859999999</v>
          </cell>
          <cell r="I179">
            <v>-3004023.09</v>
          </cell>
        </row>
        <row r="180">
          <cell r="C180">
            <v>15331</v>
          </cell>
          <cell r="E180" t="str">
            <v>MXN</v>
          </cell>
          <cell r="F180">
            <v>-1300820.93</v>
          </cell>
          <cell r="G180">
            <v>7481481.3600000003</v>
          </cell>
          <cell r="H180">
            <v>6667567.79</v>
          </cell>
          <cell r="I180">
            <v>-486907.36</v>
          </cell>
        </row>
        <row r="181">
          <cell r="C181">
            <v>15461</v>
          </cell>
          <cell r="E181" t="str">
            <v>MXN</v>
          </cell>
          <cell r="F181">
            <v>-82964797.599999994</v>
          </cell>
          <cell r="G181">
            <v>473391698.64999998</v>
          </cell>
          <cell r="H181">
            <v>454544999.83999997</v>
          </cell>
          <cell r="I181">
            <v>-64118098.789999999</v>
          </cell>
        </row>
        <row r="182">
          <cell r="C182">
            <v>15605</v>
          </cell>
          <cell r="E182" t="str">
            <v>MXN</v>
          </cell>
          <cell r="F182">
            <v>-6005515.6699999999</v>
          </cell>
          <cell r="G182">
            <v>11307861.310000001</v>
          </cell>
          <cell r="H182">
            <v>9839378.4900000002</v>
          </cell>
          <cell r="I182">
            <v>-4537032.8499999996</v>
          </cell>
        </row>
        <row r="183">
          <cell r="C183">
            <v>15606</v>
          </cell>
          <cell r="E183" t="str">
            <v>MXN</v>
          </cell>
          <cell r="F183">
            <v>-52302312.549999997</v>
          </cell>
          <cell r="G183">
            <v>68929894.629999995</v>
          </cell>
          <cell r="H183">
            <v>83076567.569999993</v>
          </cell>
          <cell r="I183">
            <v>-66448985.490000002</v>
          </cell>
        </row>
        <row r="184">
          <cell r="C184">
            <v>15628</v>
          </cell>
          <cell r="E184" t="str">
            <v>MXN</v>
          </cell>
          <cell r="F184">
            <v>-1628629.82</v>
          </cell>
          <cell r="G184">
            <v>3897982.85</v>
          </cell>
          <cell r="H184">
            <v>5522987.7699999996</v>
          </cell>
          <cell r="I184">
            <v>-3253634.74</v>
          </cell>
        </row>
        <row r="185">
          <cell r="C185">
            <v>16006</v>
          </cell>
          <cell r="E185" t="str">
            <v>MXN</v>
          </cell>
          <cell r="F185">
            <v>-8811881.5099999998</v>
          </cell>
          <cell r="G185">
            <v>15490964.609999999</v>
          </cell>
          <cell r="H185">
            <v>9118014.5500000007</v>
          </cell>
          <cell r="I185">
            <v>-2438931.4500000002</v>
          </cell>
        </row>
        <row r="186">
          <cell r="C186">
            <v>16068</v>
          </cell>
          <cell r="E186" t="str">
            <v>MXN</v>
          </cell>
          <cell r="F186">
            <v>-25549844.27</v>
          </cell>
          <cell r="G186">
            <v>32778662.579999998</v>
          </cell>
          <cell r="H186">
            <v>36884103.32</v>
          </cell>
          <cell r="I186">
            <v>-29655285.010000002</v>
          </cell>
        </row>
        <row r="187">
          <cell r="C187">
            <v>16095</v>
          </cell>
          <cell r="E187" t="str">
            <v>MXN</v>
          </cell>
          <cell r="F187">
            <v>459125.18</v>
          </cell>
          <cell r="G187">
            <v>0</v>
          </cell>
          <cell r="H187">
            <v>0</v>
          </cell>
          <cell r="I187">
            <v>459125.18</v>
          </cell>
        </row>
        <row r="188">
          <cell r="C188">
            <v>16200</v>
          </cell>
          <cell r="E188" t="str">
            <v>MXN</v>
          </cell>
          <cell r="F188">
            <v>-11061987.82</v>
          </cell>
          <cell r="G188">
            <v>27325051.800000001</v>
          </cell>
          <cell r="H188">
            <v>22901351.25</v>
          </cell>
          <cell r="I188">
            <v>-6638287.2699999996</v>
          </cell>
        </row>
        <row r="189">
          <cell r="C189">
            <v>16433</v>
          </cell>
          <cell r="E189" t="str">
            <v>MXN</v>
          </cell>
          <cell r="F189">
            <v>-5196812.05</v>
          </cell>
          <cell r="G189">
            <v>12746495.85</v>
          </cell>
          <cell r="H189">
            <v>10214867.35</v>
          </cell>
          <cell r="I189">
            <v>-2665183.5499999998</v>
          </cell>
        </row>
        <row r="190">
          <cell r="C190">
            <v>16634</v>
          </cell>
          <cell r="E190" t="str">
            <v>MXN</v>
          </cell>
          <cell r="F190">
            <v>-8294957.3300000001</v>
          </cell>
          <cell r="G190">
            <v>32084275.780000001</v>
          </cell>
          <cell r="H190">
            <v>31347265.719999999</v>
          </cell>
          <cell r="I190">
            <v>-7557947.2699999996</v>
          </cell>
        </row>
        <row r="191">
          <cell r="C191">
            <v>16636</v>
          </cell>
          <cell r="E191" t="str">
            <v>MXN</v>
          </cell>
          <cell r="F191">
            <v>-2542689.17</v>
          </cell>
          <cell r="G191">
            <v>6388490.3200000003</v>
          </cell>
          <cell r="H191">
            <v>4372380.1900000004</v>
          </cell>
          <cell r="I191">
            <v>-526579.04</v>
          </cell>
        </row>
        <row r="192">
          <cell r="C192">
            <v>16709</v>
          </cell>
          <cell r="E192" t="str">
            <v>MXN</v>
          </cell>
          <cell r="F192">
            <v>-20383726.600000001</v>
          </cell>
          <cell r="G192">
            <v>48219531.259999998</v>
          </cell>
          <cell r="H192">
            <v>76211479.680000007</v>
          </cell>
          <cell r="I192">
            <v>-48375675.020000003</v>
          </cell>
        </row>
        <row r="193">
          <cell r="C193">
            <v>16747</v>
          </cell>
          <cell r="E193" t="str">
            <v>MXN</v>
          </cell>
          <cell r="F193">
            <v>-34095345.009999998</v>
          </cell>
          <cell r="G193">
            <v>59191093.340000004</v>
          </cell>
          <cell r="H193">
            <v>30254227.969999999</v>
          </cell>
          <cell r="I193">
            <v>-5158479.6399999997</v>
          </cell>
        </row>
        <row r="194">
          <cell r="C194">
            <v>16807</v>
          </cell>
          <cell r="E194" t="str">
            <v>MXN</v>
          </cell>
          <cell r="F194">
            <v>-3147046.58</v>
          </cell>
          <cell r="G194">
            <v>7566472.1600000001</v>
          </cell>
          <cell r="H194">
            <v>4978318.75</v>
          </cell>
          <cell r="I194">
            <v>-558893.17000000004</v>
          </cell>
        </row>
        <row r="195">
          <cell r="C195">
            <v>16985</v>
          </cell>
          <cell r="E195" t="str">
            <v>MXN</v>
          </cell>
          <cell r="F195">
            <v>-1981627.67</v>
          </cell>
          <cell r="G195">
            <v>2431343.7000000002</v>
          </cell>
          <cell r="H195">
            <v>672907.47</v>
          </cell>
          <cell r="I195">
            <v>-223191.44</v>
          </cell>
        </row>
        <row r="196">
          <cell r="C196">
            <v>17058</v>
          </cell>
          <cell r="E196" t="str">
            <v>MXN</v>
          </cell>
          <cell r="F196">
            <v>-1171294.6599999999</v>
          </cell>
          <cell r="G196">
            <v>2165839.58</v>
          </cell>
          <cell r="H196">
            <v>1338854.1599999999</v>
          </cell>
          <cell r="I196">
            <v>-344309.24</v>
          </cell>
        </row>
        <row r="197">
          <cell r="C197">
            <v>17081</v>
          </cell>
          <cell r="E197" t="str">
            <v>MXN</v>
          </cell>
          <cell r="F197">
            <v>-6791569.9000000004</v>
          </cell>
          <cell r="G197">
            <v>42171571.640000001</v>
          </cell>
          <cell r="H197">
            <v>37719304.149999999</v>
          </cell>
          <cell r="I197">
            <v>-2339302.41</v>
          </cell>
        </row>
        <row r="198">
          <cell r="C198">
            <v>17182</v>
          </cell>
          <cell r="E198" t="str">
            <v>MXN</v>
          </cell>
          <cell r="F198">
            <v>-7889706.5599999996</v>
          </cell>
          <cell r="G198">
            <v>19040685.350000001</v>
          </cell>
          <cell r="H198">
            <v>14695985.65</v>
          </cell>
          <cell r="I198">
            <v>-3545006.86</v>
          </cell>
        </row>
        <row r="199">
          <cell r="C199">
            <v>17183</v>
          </cell>
          <cell r="E199" t="str">
            <v>MXN</v>
          </cell>
          <cell r="F199">
            <v>-3400077.21</v>
          </cell>
          <cell r="G199">
            <v>4376810.1900000004</v>
          </cell>
          <cell r="H199">
            <v>976732.98</v>
          </cell>
          <cell r="I199">
            <v>0</v>
          </cell>
        </row>
        <row r="200">
          <cell r="C200">
            <v>17222</v>
          </cell>
          <cell r="E200" t="str">
            <v>MXN</v>
          </cell>
          <cell r="F200">
            <v>-786979953.90999997</v>
          </cell>
          <cell r="G200">
            <v>3057456790.8000002</v>
          </cell>
          <cell r="H200">
            <v>2379581945.0100002</v>
          </cell>
          <cell r="I200">
            <v>-109105108.12</v>
          </cell>
        </row>
        <row r="201">
          <cell r="C201">
            <v>17288</v>
          </cell>
          <cell r="E201" t="str">
            <v>MXN</v>
          </cell>
          <cell r="F201">
            <v>-12238849.67</v>
          </cell>
          <cell r="G201">
            <v>42230974.409999996</v>
          </cell>
          <cell r="H201">
            <v>37824755.469999999</v>
          </cell>
          <cell r="I201">
            <v>-7832630.7300000004</v>
          </cell>
        </row>
        <row r="202">
          <cell r="C202">
            <v>17541</v>
          </cell>
          <cell r="E202" t="str">
            <v>MXN</v>
          </cell>
          <cell r="F202">
            <v>-111405.2</v>
          </cell>
          <cell r="G202">
            <v>215430.2</v>
          </cell>
          <cell r="H202">
            <v>153850.79999999999</v>
          </cell>
          <cell r="I202">
            <v>-49825.8</v>
          </cell>
        </row>
        <row r="203">
          <cell r="C203">
            <v>17806</v>
          </cell>
          <cell r="E203" t="str">
            <v>MXN</v>
          </cell>
          <cell r="F203">
            <v>-328764.64</v>
          </cell>
          <cell r="G203">
            <v>12419753.199999999</v>
          </cell>
          <cell r="H203">
            <v>13066790</v>
          </cell>
          <cell r="I203">
            <v>-975801.44</v>
          </cell>
        </row>
        <row r="204">
          <cell r="C204">
            <v>17921</v>
          </cell>
          <cell r="E204" t="str">
            <v>MXN</v>
          </cell>
          <cell r="F204">
            <v>-88240903.769999996</v>
          </cell>
          <cell r="G204">
            <v>167073767.69999999</v>
          </cell>
          <cell r="H204">
            <v>205014618.61000001</v>
          </cell>
          <cell r="I204">
            <v>-126181754.68000001</v>
          </cell>
        </row>
        <row r="205">
          <cell r="C205">
            <v>18320</v>
          </cell>
          <cell r="E205" t="str">
            <v>MXN</v>
          </cell>
          <cell r="F205">
            <v>-1719405.13</v>
          </cell>
          <cell r="G205">
            <v>2482081.5299999998</v>
          </cell>
          <cell r="H205">
            <v>2389847.2000000002</v>
          </cell>
          <cell r="I205">
            <v>-1627170.8</v>
          </cell>
        </row>
        <row r="206">
          <cell r="C206">
            <v>18500</v>
          </cell>
          <cell r="E206" t="str">
            <v>MXN</v>
          </cell>
          <cell r="F206">
            <v>-1694215.1</v>
          </cell>
          <cell r="G206">
            <v>7794710.2300000004</v>
          </cell>
          <cell r="H206">
            <v>7887553.9100000001</v>
          </cell>
          <cell r="I206">
            <v>-1787058.78</v>
          </cell>
        </row>
        <row r="207">
          <cell r="C207">
            <v>18501</v>
          </cell>
          <cell r="E207" t="str">
            <v>MXN</v>
          </cell>
          <cell r="F207">
            <v>-2112844.9700000002</v>
          </cell>
          <cell r="G207">
            <v>6190208.9900000002</v>
          </cell>
          <cell r="H207">
            <v>5091016.1399999997</v>
          </cell>
          <cell r="I207">
            <v>-1013652.12</v>
          </cell>
        </row>
        <row r="208">
          <cell r="C208">
            <v>18614</v>
          </cell>
          <cell r="E208" t="str">
            <v>MXN</v>
          </cell>
          <cell r="F208">
            <v>-24538098.68</v>
          </cell>
          <cell r="G208">
            <v>47968211.07</v>
          </cell>
          <cell r="H208">
            <v>29721746.149999999</v>
          </cell>
          <cell r="I208">
            <v>-6291633.7599999998</v>
          </cell>
        </row>
        <row r="209">
          <cell r="C209">
            <v>18943</v>
          </cell>
          <cell r="E209" t="str">
            <v>MXN</v>
          </cell>
          <cell r="F209">
            <v>-669214.56000000006</v>
          </cell>
          <cell r="G209">
            <v>1461768.96</v>
          </cell>
          <cell r="H209">
            <v>1663200</v>
          </cell>
          <cell r="I209">
            <v>-870645.6</v>
          </cell>
        </row>
        <row r="210">
          <cell r="C210">
            <v>19196</v>
          </cell>
          <cell r="E210" t="str">
            <v>MXN</v>
          </cell>
          <cell r="F210">
            <v>-1239035.5</v>
          </cell>
          <cell r="G210">
            <v>2941350.2</v>
          </cell>
          <cell r="H210">
            <v>3207109.64</v>
          </cell>
          <cell r="I210">
            <v>-1504794.94</v>
          </cell>
        </row>
        <row r="211">
          <cell r="C211">
            <v>19271</v>
          </cell>
          <cell r="E211" t="str">
            <v>MXN</v>
          </cell>
          <cell r="F211">
            <v>-1897826.96</v>
          </cell>
          <cell r="G211">
            <v>260777.06</v>
          </cell>
          <cell r="H211">
            <v>1199730.3999999999</v>
          </cell>
          <cell r="I211">
            <v>-2836780.3</v>
          </cell>
        </row>
        <row r="212">
          <cell r="C212">
            <v>19406</v>
          </cell>
          <cell r="E212" t="str">
            <v>MXN</v>
          </cell>
          <cell r="F212">
            <v>-212750176.50999999</v>
          </cell>
          <cell r="G212">
            <v>390655819.99000001</v>
          </cell>
          <cell r="H212">
            <v>385967440.5</v>
          </cell>
          <cell r="I212">
            <v>-208061797.02000001</v>
          </cell>
        </row>
        <row r="213">
          <cell r="C213">
            <v>20016</v>
          </cell>
          <cell r="E213" t="str">
            <v>MXN</v>
          </cell>
          <cell r="F213">
            <v>-56229579.009999998</v>
          </cell>
          <cell r="G213">
            <v>85590563.170000002</v>
          </cell>
          <cell r="H213">
            <v>35127171.43</v>
          </cell>
          <cell r="I213">
            <v>-5766187.2699999996</v>
          </cell>
        </row>
        <row r="214">
          <cell r="C214">
            <v>20073</v>
          </cell>
          <cell r="E214" t="str">
            <v>MXN</v>
          </cell>
          <cell r="F214">
            <v>-167879371.41</v>
          </cell>
          <cell r="G214">
            <v>559148787.15999997</v>
          </cell>
          <cell r="H214">
            <v>700983609.04999995</v>
          </cell>
          <cell r="I214">
            <v>-309714193.30000001</v>
          </cell>
        </row>
        <row r="215">
          <cell r="C215">
            <v>20096</v>
          </cell>
          <cell r="E215" t="str">
            <v>MXN</v>
          </cell>
          <cell r="F215">
            <v>-4287678.74</v>
          </cell>
          <cell r="G215">
            <v>14630614.07</v>
          </cell>
          <cell r="H215">
            <v>13778057.91</v>
          </cell>
          <cell r="I215">
            <v>-3435122.58</v>
          </cell>
        </row>
        <row r="216">
          <cell r="C216">
            <v>20125</v>
          </cell>
          <cell r="E216" t="str">
            <v>MXN</v>
          </cell>
          <cell r="F216">
            <v>-132149081.59</v>
          </cell>
          <cell r="G216">
            <v>207320949.87</v>
          </cell>
          <cell r="H216">
            <v>226622132.66999999</v>
          </cell>
          <cell r="I216">
            <v>-151450264.38999999</v>
          </cell>
        </row>
        <row r="217">
          <cell r="C217">
            <v>20146</v>
          </cell>
          <cell r="E217" t="str">
            <v>MXN</v>
          </cell>
          <cell r="F217">
            <v>-2615084.54</v>
          </cell>
          <cell r="G217">
            <v>15295606.85</v>
          </cell>
          <cell r="H217">
            <v>16346797.23</v>
          </cell>
          <cell r="I217">
            <v>-3666274.92</v>
          </cell>
        </row>
        <row r="218">
          <cell r="C218">
            <v>20185</v>
          </cell>
          <cell r="E218" t="str">
            <v>MXN</v>
          </cell>
          <cell r="F218">
            <v>-19137387.57</v>
          </cell>
          <cell r="G218">
            <v>43815237.159999996</v>
          </cell>
          <cell r="H218">
            <v>51202167.609999999</v>
          </cell>
          <cell r="I218">
            <v>-26524318.02</v>
          </cell>
        </row>
        <row r="219">
          <cell r="C219">
            <v>20192</v>
          </cell>
          <cell r="E219" t="str">
            <v>MXN</v>
          </cell>
          <cell r="F219">
            <v>-2077991.28</v>
          </cell>
          <cell r="G219">
            <v>4119410.08</v>
          </cell>
          <cell r="H219">
            <v>3335762.85</v>
          </cell>
          <cell r="I219">
            <v>-1294344.05</v>
          </cell>
        </row>
        <row r="220">
          <cell r="C220">
            <v>20230</v>
          </cell>
          <cell r="E220" t="str">
            <v>MXN</v>
          </cell>
          <cell r="F220">
            <v>-50299352.490000002</v>
          </cell>
          <cell r="G220">
            <v>77242017.310000002</v>
          </cell>
          <cell r="H220">
            <v>100240181.31999999</v>
          </cell>
          <cell r="I220">
            <v>-73297516.5</v>
          </cell>
        </row>
        <row r="221">
          <cell r="C221">
            <v>20252</v>
          </cell>
          <cell r="E221" t="str">
            <v>MXN</v>
          </cell>
          <cell r="F221">
            <v>-29503336.129999999</v>
          </cell>
          <cell r="G221">
            <v>37957855.5</v>
          </cell>
          <cell r="H221">
            <v>75835760.870000005</v>
          </cell>
          <cell r="I221">
            <v>-67381241.5</v>
          </cell>
        </row>
        <row r="222">
          <cell r="C222">
            <v>20257</v>
          </cell>
          <cell r="E222" t="str">
            <v>MXN</v>
          </cell>
          <cell r="F222">
            <v>-2722334.22</v>
          </cell>
          <cell r="G222">
            <v>6803436.7999999998</v>
          </cell>
          <cell r="H222">
            <v>9215948.3699999992</v>
          </cell>
          <cell r="I222">
            <v>-5134845.79</v>
          </cell>
        </row>
        <row r="223">
          <cell r="C223">
            <v>20337</v>
          </cell>
          <cell r="E223" t="str">
            <v>MXN</v>
          </cell>
          <cell r="F223">
            <v>-1226325.52</v>
          </cell>
          <cell r="G223">
            <v>2516016.69</v>
          </cell>
          <cell r="H223">
            <v>2483673.9900000002</v>
          </cell>
          <cell r="I223">
            <v>-1193982.82</v>
          </cell>
        </row>
        <row r="224">
          <cell r="C224">
            <v>20364</v>
          </cell>
          <cell r="E224" t="str">
            <v>MXN</v>
          </cell>
          <cell r="F224">
            <v>-1356953.46</v>
          </cell>
          <cell r="G224">
            <v>5524008.7000000002</v>
          </cell>
          <cell r="H224">
            <v>5651922.9800000004</v>
          </cell>
          <cell r="I224">
            <v>-1484867.74</v>
          </cell>
        </row>
        <row r="225">
          <cell r="C225">
            <v>20365</v>
          </cell>
          <cell r="E225" t="str">
            <v>MXN</v>
          </cell>
          <cell r="F225">
            <v>5672.69</v>
          </cell>
          <cell r="G225">
            <v>0</v>
          </cell>
          <cell r="H225">
            <v>0</v>
          </cell>
          <cell r="I225">
            <v>5672.69</v>
          </cell>
        </row>
        <row r="226">
          <cell r="C226">
            <v>20436</v>
          </cell>
          <cell r="E226" t="str">
            <v>MXN</v>
          </cell>
          <cell r="F226">
            <v>-21855704.890000001</v>
          </cell>
          <cell r="G226">
            <v>35621923.520000003</v>
          </cell>
          <cell r="H226">
            <v>37771649.109999999</v>
          </cell>
          <cell r="I226">
            <v>-24005430.48</v>
          </cell>
        </row>
        <row r="227">
          <cell r="C227">
            <v>20456</v>
          </cell>
          <cell r="E227" t="str">
            <v>MXN</v>
          </cell>
          <cell r="F227">
            <v>-6693794.1900000004</v>
          </cell>
          <cell r="G227">
            <v>12048886.49</v>
          </cell>
          <cell r="H227">
            <v>11914149.09</v>
          </cell>
          <cell r="I227">
            <v>-6559056.79</v>
          </cell>
        </row>
        <row r="228">
          <cell r="C228">
            <v>20486</v>
          </cell>
          <cell r="E228" t="str">
            <v>MXN</v>
          </cell>
          <cell r="F228">
            <v>-5562627.2199999997</v>
          </cell>
          <cell r="G228">
            <v>6091743.8499999996</v>
          </cell>
          <cell r="H228">
            <v>529116.63</v>
          </cell>
          <cell r="I228">
            <v>0</v>
          </cell>
        </row>
        <row r="229">
          <cell r="C229">
            <v>20539</v>
          </cell>
          <cell r="E229" t="str">
            <v>MXN</v>
          </cell>
          <cell r="F229">
            <v>-21662372.25</v>
          </cell>
          <cell r="G229">
            <v>30637935.829999998</v>
          </cell>
          <cell r="H229">
            <v>10014061.32</v>
          </cell>
          <cell r="I229">
            <v>-1038497.74</v>
          </cell>
        </row>
        <row r="230">
          <cell r="C230">
            <v>20623</v>
          </cell>
          <cell r="E230" t="str">
            <v>MXN</v>
          </cell>
          <cell r="F230">
            <v>-5607424.5599999996</v>
          </cell>
          <cell r="G230">
            <v>20231090.73</v>
          </cell>
          <cell r="H230">
            <v>20125324.309999999</v>
          </cell>
          <cell r="I230">
            <v>-5501658.1399999997</v>
          </cell>
        </row>
        <row r="231">
          <cell r="C231">
            <v>20646</v>
          </cell>
          <cell r="E231" t="str">
            <v>MXN</v>
          </cell>
          <cell r="F231">
            <v>-491239.79</v>
          </cell>
          <cell r="G231">
            <v>1657024.51</v>
          </cell>
          <cell r="H231">
            <v>1717948.32</v>
          </cell>
          <cell r="I231">
            <v>-552163.6</v>
          </cell>
        </row>
        <row r="232">
          <cell r="C232">
            <v>20729</v>
          </cell>
          <cell r="E232" t="str">
            <v>MXN</v>
          </cell>
          <cell r="F232">
            <v>-4954330.76</v>
          </cell>
          <cell r="G232">
            <v>44267828.810000002</v>
          </cell>
          <cell r="H232">
            <v>45003581.759999998</v>
          </cell>
          <cell r="I232">
            <v>-5690083.71</v>
          </cell>
        </row>
        <row r="233">
          <cell r="C233">
            <v>20751</v>
          </cell>
          <cell r="E233" t="str">
            <v>MXN</v>
          </cell>
          <cell r="F233">
            <v>-54426.6</v>
          </cell>
          <cell r="G233">
            <v>0</v>
          </cell>
          <cell r="H233">
            <v>0</v>
          </cell>
          <cell r="I233">
            <v>-54426.6</v>
          </cell>
        </row>
        <row r="234">
          <cell r="C234">
            <v>20777</v>
          </cell>
          <cell r="E234" t="str">
            <v>MXN</v>
          </cell>
          <cell r="F234">
            <v>-18532.59</v>
          </cell>
          <cell r="G234">
            <v>73428.490000000005</v>
          </cell>
          <cell r="H234">
            <v>22596.15</v>
          </cell>
          <cell r="I234">
            <v>32299.75</v>
          </cell>
        </row>
        <row r="235">
          <cell r="C235">
            <v>20793</v>
          </cell>
          <cell r="E235" t="str">
            <v>MXN</v>
          </cell>
          <cell r="F235">
            <v>500</v>
          </cell>
          <cell r="G235">
            <v>3005.61</v>
          </cell>
          <cell r="H235">
            <v>425577.83</v>
          </cell>
          <cell r="I235">
            <v>-422072.22</v>
          </cell>
        </row>
        <row r="236">
          <cell r="C236">
            <v>20828</v>
          </cell>
          <cell r="E236" t="str">
            <v>MXN</v>
          </cell>
          <cell r="F236">
            <v>-3176166.32</v>
          </cell>
          <cell r="G236">
            <v>8842295.3000000007</v>
          </cell>
          <cell r="H236">
            <v>6915822.6399999997</v>
          </cell>
          <cell r="I236">
            <v>-1249693.6599999999</v>
          </cell>
        </row>
        <row r="237">
          <cell r="C237">
            <v>20851</v>
          </cell>
          <cell r="E237" t="str">
            <v>MXN</v>
          </cell>
          <cell r="F237">
            <v>-46255508.420000002</v>
          </cell>
          <cell r="G237">
            <v>83640044.409999996</v>
          </cell>
          <cell r="H237">
            <v>114349235.13</v>
          </cell>
          <cell r="I237">
            <v>-76964699.140000001</v>
          </cell>
        </row>
        <row r="238">
          <cell r="C238">
            <v>20859</v>
          </cell>
          <cell r="E238" t="str">
            <v>MXN</v>
          </cell>
          <cell r="F238">
            <v>-17214352.379999999</v>
          </cell>
          <cell r="G238">
            <v>43017449.340000004</v>
          </cell>
          <cell r="H238">
            <v>30102534.670000002</v>
          </cell>
          <cell r="I238">
            <v>-4299437.71</v>
          </cell>
        </row>
        <row r="239">
          <cell r="C239">
            <v>20870</v>
          </cell>
          <cell r="E239" t="str">
            <v>MXN</v>
          </cell>
          <cell r="F239">
            <v>-2839238.62</v>
          </cell>
          <cell r="G239">
            <v>4544326.5999999996</v>
          </cell>
          <cell r="H239">
            <v>3833818.64</v>
          </cell>
          <cell r="I239">
            <v>-2128730.66</v>
          </cell>
        </row>
        <row r="240">
          <cell r="C240">
            <v>20949</v>
          </cell>
          <cell r="E240" t="str">
            <v>MXN</v>
          </cell>
          <cell r="F240">
            <v>-22051675.68</v>
          </cell>
          <cell r="G240">
            <v>34456020.149999999</v>
          </cell>
          <cell r="H240">
            <v>17193678.800000001</v>
          </cell>
          <cell r="I240">
            <v>-4789334.33</v>
          </cell>
        </row>
        <row r="241">
          <cell r="C241">
            <v>21059</v>
          </cell>
          <cell r="E241" t="str">
            <v>MXN</v>
          </cell>
          <cell r="F241">
            <v>4752</v>
          </cell>
          <cell r="G241">
            <v>0</v>
          </cell>
          <cell r="H241">
            <v>0</v>
          </cell>
          <cell r="I241">
            <v>4752</v>
          </cell>
        </row>
        <row r="242">
          <cell r="C242">
            <v>21091</v>
          </cell>
          <cell r="E242" t="str">
            <v>MXN</v>
          </cell>
          <cell r="F242">
            <v>-2460359.1800000002</v>
          </cell>
          <cell r="G242">
            <v>11411971.890000001</v>
          </cell>
          <cell r="H242">
            <v>9701539.6300000008</v>
          </cell>
          <cell r="I242">
            <v>-749926.92</v>
          </cell>
        </row>
        <row r="243">
          <cell r="C243">
            <v>21102</v>
          </cell>
          <cell r="E243" t="str">
            <v>MXN</v>
          </cell>
          <cell r="F243">
            <v>-846512.77</v>
          </cell>
          <cell r="G243">
            <v>1601048.49</v>
          </cell>
          <cell r="H243">
            <v>1880830.45</v>
          </cell>
          <cell r="I243">
            <v>-1126294.73</v>
          </cell>
        </row>
        <row r="244">
          <cell r="C244">
            <v>21110</v>
          </cell>
          <cell r="E244" t="str">
            <v>MXN</v>
          </cell>
          <cell r="F244">
            <v>-24418284.010000002</v>
          </cell>
          <cell r="G244">
            <v>44570779.130000003</v>
          </cell>
          <cell r="H244">
            <v>25794316.890000001</v>
          </cell>
          <cell r="I244">
            <v>-5641821.7699999996</v>
          </cell>
        </row>
        <row r="245">
          <cell r="C245">
            <v>21123</v>
          </cell>
          <cell r="E245" t="str">
            <v>MXN</v>
          </cell>
          <cell r="F245">
            <v>-20156768.899999999</v>
          </cell>
          <cell r="G245">
            <v>24382284.02</v>
          </cell>
          <cell r="H245">
            <v>24317488.760000002</v>
          </cell>
          <cell r="I245">
            <v>-20091973.640000001</v>
          </cell>
        </row>
        <row r="246">
          <cell r="C246">
            <v>21157</v>
          </cell>
          <cell r="E246" t="str">
            <v>MXN</v>
          </cell>
          <cell r="F246">
            <v>-42792507.409999996</v>
          </cell>
          <cell r="G246">
            <v>64016006.659999996</v>
          </cell>
          <cell r="H246">
            <v>41569773.219999999</v>
          </cell>
          <cell r="I246">
            <v>-20346273.969999999</v>
          </cell>
        </row>
        <row r="247">
          <cell r="C247">
            <v>21208</v>
          </cell>
          <cell r="E247" t="str">
            <v>MXN</v>
          </cell>
          <cell r="F247">
            <v>-599182.14</v>
          </cell>
          <cell r="G247">
            <v>6278404.2699999996</v>
          </cell>
          <cell r="H247">
            <v>4793949.26</v>
          </cell>
          <cell r="I247">
            <v>885272.87</v>
          </cell>
        </row>
        <row r="248">
          <cell r="C248">
            <v>21239</v>
          </cell>
          <cell r="E248" t="str">
            <v>MXN</v>
          </cell>
          <cell r="F248">
            <v>-2083031.38</v>
          </cell>
          <cell r="G248">
            <v>12121225.529999999</v>
          </cell>
          <cell r="H248">
            <v>11998428.84</v>
          </cell>
          <cell r="I248">
            <v>-1960234.69</v>
          </cell>
        </row>
        <row r="249">
          <cell r="C249">
            <v>21240</v>
          </cell>
          <cell r="E249" t="str">
            <v>MXN</v>
          </cell>
          <cell r="F249">
            <v>-41690066.770000003</v>
          </cell>
          <cell r="G249">
            <v>47745059.890000001</v>
          </cell>
          <cell r="H249">
            <v>15895695.92</v>
          </cell>
          <cell r="I249">
            <v>-9840702.8000000007</v>
          </cell>
        </row>
        <row r="250">
          <cell r="C250">
            <v>21256</v>
          </cell>
          <cell r="E250" t="str">
            <v>MXN</v>
          </cell>
          <cell r="F250">
            <v>-7175859.5999999996</v>
          </cell>
          <cell r="G250">
            <v>21756116.629999999</v>
          </cell>
          <cell r="H250">
            <v>19035649.649999999</v>
          </cell>
          <cell r="I250">
            <v>-4455392.62</v>
          </cell>
        </row>
        <row r="251">
          <cell r="C251">
            <v>21260</v>
          </cell>
          <cell r="E251" t="str">
            <v>MXN</v>
          </cell>
          <cell r="F251">
            <v>-20372623.370000001</v>
          </cell>
          <cell r="G251">
            <v>40420045.75</v>
          </cell>
          <cell r="H251">
            <v>25444484.899999999</v>
          </cell>
          <cell r="I251">
            <v>-5397062.5199999996</v>
          </cell>
        </row>
        <row r="252">
          <cell r="C252">
            <v>21262</v>
          </cell>
          <cell r="E252" t="str">
            <v>MXN</v>
          </cell>
          <cell r="F252">
            <v>-327339.15999999997</v>
          </cell>
          <cell r="G252">
            <v>1848909.16</v>
          </cell>
          <cell r="H252">
            <v>1970691.14</v>
          </cell>
          <cell r="I252">
            <v>-449121.14</v>
          </cell>
        </row>
        <row r="253">
          <cell r="C253">
            <v>21329</v>
          </cell>
          <cell r="E253" t="str">
            <v>MXN</v>
          </cell>
          <cell r="F253">
            <v>-1429673.99</v>
          </cell>
          <cell r="G253">
            <v>14580.84</v>
          </cell>
          <cell r="H253">
            <v>0</v>
          </cell>
          <cell r="I253">
            <v>-1415093.15</v>
          </cell>
        </row>
        <row r="254">
          <cell r="C254">
            <v>21356</v>
          </cell>
          <cell r="E254" t="str">
            <v>MXN</v>
          </cell>
          <cell r="F254">
            <v>-3140068.5</v>
          </cell>
          <cell r="G254">
            <v>11018317.390000001</v>
          </cell>
          <cell r="H254">
            <v>10440275.4</v>
          </cell>
          <cell r="I254">
            <v>-2562026.5099999998</v>
          </cell>
        </row>
        <row r="255">
          <cell r="C255">
            <v>21367</v>
          </cell>
          <cell r="E255" t="str">
            <v>MXN</v>
          </cell>
          <cell r="F255">
            <v>-9369522.8300000001</v>
          </cell>
          <cell r="G255">
            <v>41052641.280000001</v>
          </cell>
          <cell r="H255">
            <v>47552518.840000004</v>
          </cell>
          <cell r="I255">
            <v>-15869400.390000001</v>
          </cell>
        </row>
        <row r="256">
          <cell r="C256">
            <v>21448</v>
          </cell>
          <cell r="E256" t="str">
            <v>MXN</v>
          </cell>
          <cell r="F256">
            <v>347.2</v>
          </cell>
          <cell r="G256">
            <v>0</v>
          </cell>
          <cell r="H256">
            <v>0</v>
          </cell>
          <cell r="I256">
            <v>347.2</v>
          </cell>
        </row>
        <row r="257">
          <cell r="C257">
            <v>21462</v>
          </cell>
          <cell r="E257" t="str">
            <v>MXN</v>
          </cell>
          <cell r="F257">
            <v>-24754664.920000002</v>
          </cell>
          <cell r="G257">
            <v>115416643.38</v>
          </cell>
          <cell r="H257">
            <v>98527680.530000001</v>
          </cell>
          <cell r="I257">
            <v>-7865702.0700000003</v>
          </cell>
        </row>
        <row r="258">
          <cell r="C258">
            <v>21484</v>
          </cell>
          <cell r="E258" t="str">
            <v>MXN</v>
          </cell>
          <cell r="F258">
            <v>-5637198</v>
          </cell>
          <cell r="G258">
            <v>4388938</v>
          </cell>
          <cell r="H258">
            <v>529740</v>
          </cell>
          <cell r="I258">
            <v>-1778000</v>
          </cell>
        </row>
        <row r="259">
          <cell r="C259">
            <v>21576</v>
          </cell>
          <cell r="E259" t="str">
            <v>MXN</v>
          </cell>
          <cell r="F259">
            <v>-33509662.760000002</v>
          </cell>
          <cell r="G259">
            <v>144300745.72</v>
          </cell>
          <cell r="H259">
            <v>162072306.72</v>
          </cell>
          <cell r="I259">
            <v>-51281223.759999998</v>
          </cell>
        </row>
        <row r="260">
          <cell r="C260">
            <v>21597</v>
          </cell>
          <cell r="E260" t="str">
            <v>MXN</v>
          </cell>
          <cell r="F260">
            <v>-3838309.97</v>
          </cell>
          <cell r="G260">
            <v>10869897.17</v>
          </cell>
          <cell r="H260">
            <v>9262414.3100000005</v>
          </cell>
          <cell r="I260">
            <v>-2230827.11</v>
          </cell>
        </row>
        <row r="261">
          <cell r="C261">
            <v>21599</v>
          </cell>
          <cell r="E261" t="str">
            <v>MXN</v>
          </cell>
          <cell r="F261">
            <v>-10220683.9</v>
          </cell>
          <cell r="G261">
            <v>31766068.699999999</v>
          </cell>
          <cell r="H261">
            <v>32553842.809999999</v>
          </cell>
          <cell r="I261">
            <v>-11008458.01</v>
          </cell>
        </row>
        <row r="262">
          <cell r="C262">
            <v>21625</v>
          </cell>
          <cell r="E262" t="str">
            <v>MXN</v>
          </cell>
          <cell r="F262">
            <v>-70174158.349999994</v>
          </cell>
          <cell r="G262">
            <v>164724473.38</v>
          </cell>
          <cell r="H262">
            <v>203127257.99000001</v>
          </cell>
          <cell r="I262">
            <v>-108576942.95999999</v>
          </cell>
        </row>
        <row r="263">
          <cell r="C263">
            <v>21646</v>
          </cell>
          <cell r="E263" t="str">
            <v>MXN</v>
          </cell>
          <cell r="F263">
            <v>-24816284.34</v>
          </cell>
          <cell r="G263">
            <v>120782886.34</v>
          </cell>
          <cell r="H263">
            <v>101091476.64</v>
          </cell>
          <cell r="I263">
            <v>-5124874.6399999997</v>
          </cell>
        </row>
        <row r="264">
          <cell r="C264">
            <v>21678</v>
          </cell>
          <cell r="E264" t="str">
            <v>MXN</v>
          </cell>
          <cell r="F264">
            <v>-36563167.369999997</v>
          </cell>
          <cell r="G264">
            <v>64666618.810000002</v>
          </cell>
          <cell r="H264">
            <v>41295792.390000001</v>
          </cell>
          <cell r="I264">
            <v>-13192340.949999999</v>
          </cell>
        </row>
        <row r="265">
          <cell r="C265">
            <v>21679</v>
          </cell>
          <cell r="E265" t="str">
            <v>MXN</v>
          </cell>
          <cell r="F265">
            <v>-42283171.530000001</v>
          </cell>
          <cell r="G265">
            <v>86232339.640000001</v>
          </cell>
          <cell r="H265">
            <v>65087820.509999998</v>
          </cell>
          <cell r="I265">
            <v>-21138652.399999999</v>
          </cell>
        </row>
        <row r="266">
          <cell r="C266">
            <v>21733</v>
          </cell>
          <cell r="E266" t="str">
            <v>MXN</v>
          </cell>
          <cell r="F266">
            <v>-121034775.08</v>
          </cell>
          <cell r="G266">
            <v>494269405.88999999</v>
          </cell>
          <cell r="H266">
            <v>508462407.10000002</v>
          </cell>
          <cell r="I266">
            <v>-135227776.28999999</v>
          </cell>
        </row>
        <row r="267">
          <cell r="C267">
            <v>21753</v>
          </cell>
          <cell r="E267" t="str">
            <v>MXN</v>
          </cell>
          <cell r="F267">
            <v>-280035.43</v>
          </cell>
          <cell r="G267">
            <v>541946.72</v>
          </cell>
          <cell r="H267">
            <v>454256.37</v>
          </cell>
          <cell r="I267">
            <v>-192345.08</v>
          </cell>
        </row>
        <row r="268">
          <cell r="C268">
            <v>21828</v>
          </cell>
          <cell r="E268" t="str">
            <v>MXN</v>
          </cell>
          <cell r="F268">
            <v>-2652102.59</v>
          </cell>
          <cell r="G268">
            <v>8581353.4600000009</v>
          </cell>
          <cell r="H268">
            <v>6600693.21</v>
          </cell>
          <cell r="I268">
            <v>-671442.34</v>
          </cell>
        </row>
        <row r="269">
          <cell r="C269">
            <v>21844</v>
          </cell>
          <cell r="E269" t="str">
            <v>MXN</v>
          </cell>
          <cell r="F269">
            <v>-1879555.33</v>
          </cell>
          <cell r="G269">
            <v>5790247.8300000001</v>
          </cell>
          <cell r="H269">
            <v>4982722.68</v>
          </cell>
          <cell r="I269">
            <v>-1072030.18</v>
          </cell>
        </row>
        <row r="270">
          <cell r="C270">
            <v>21845</v>
          </cell>
          <cell r="E270" t="str">
            <v>MXN</v>
          </cell>
          <cell r="F270">
            <v>-26659929.379999999</v>
          </cell>
          <cell r="G270">
            <v>80428231.290000007</v>
          </cell>
          <cell r="H270">
            <v>76860097.260000005</v>
          </cell>
          <cell r="I270">
            <v>-23091795.350000001</v>
          </cell>
        </row>
        <row r="271">
          <cell r="C271">
            <v>21853</v>
          </cell>
          <cell r="E271" t="str">
            <v>MXN</v>
          </cell>
          <cell r="F271">
            <v>-26670774.050000001</v>
          </cell>
          <cell r="G271">
            <v>129417190.61</v>
          </cell>
          <cell r="H271">
            <v>125839938</v>
          </cell>
          <cell r="I271">
            <v>-23093521.440000001</v>
          </cell>
        </row>
        <row r="272">
          <cell r="C272">
            <v>21869</v>
          </cell>
          <cell r="E272" t="str">
            <v>MXN</v>
          </cell>
          <cell r="F272">
            <v>-1473202.92</v>
          </cell>
          <cell r="G272">
            <v>8681771.7300000004</v>
          </cell>
          <cell r="H272">
            <v>8912757.6500000004</v>
          </cell>
          <cell r="I272">
            <v>-1704188.84</v>
          </cell>
        </row>
        <row r="273">
          <cell r="C273">
            <v>21889</v>
          </cell>
          <cell r="E273" t="str">
            <v>MXN</v>
          </cell>
          <cell r="F273">
            <v>-3742988.14</v>
          </cell>
          <cell r="G273">
            <v>9237578.2899999991</v>
          </cell>
          <cell r="H273">
            <v>6598901.7300000004</v>
          </cell>
          <cell r="I273">
            <v>-1104311.58</v>
          </cell>
        </row>
        <row r="274">
          <cell r="C274">
            <v>21905</v>
          </cell>
          <cell r="E274" t="str">
            <v>MXN</v>
          </cell>
          <cell r="F274">
            <v>-6633406.1299999999</v>
          </cell>
          <cell r="G274">
            <v>21479059.199999999</v>
          </cell>
          <cell r="H274">
            <v>19935554</v>
          </cell>
          <cell r="I274">
            <v>-5089900.93</v>
          </cell>
        </row>
        <row r="275">
          <cell r="C275">
            <v>21930</v>
          </cell>
          <cell r="E275" t="str">
            <v>MXN</v>
          </cell>
          <cell r="F275">
            <v>6020</v>
          </cell>
          <cell r="G275">
            <v>0</v>
          </cell>
          <cell r="H275">
            <v>0</v>
          </cell>
          <cell r="I275">
            <v>6020</v>
          </cell>
        </row>
        <row r="276">
          <cell r="C276">
            <v>21931</v>
          </cell>
          <cell r="E276" t="str">
            <v>MXN</v>
          </cell>
          <cell r="F276">
            <v>11463.01</v>
          </cell>
          <cell r="G276">
            <v>0</v>
          </cell>
          <cell r="H276">
            <v>0</v>
          </cell>
          <cell r="I276">
            <v>11463.01</v>
          </cell>
        </row>
        <row r="277">
          <cell r="C277">
            <v>21943</v>
          </cell>
          <cell r="E277" t="str">
            <v>MXN</v>
          </cell>
          <cell r="F277">
            <v>-106480323.14</v>
          </cell>
          <cell r="G277">
            <v>312062015.69</v>
          </cell>
          <cell r="H277">
            <v>451315227.56</v>
          </cell>
          <cell r="I277">
            <v>-245733535.00999999</v>
          </cell>
        </row>
        <row r="278">
          <cell r="C278">
            <v>21951</v>
          </cell>
          <cell r="E278" t="str">
            <v>MXN</v>
          </cell>
          <cell r="F278">
            <v>-184555368.44999999</v>
          </cell>
          <cell r="G278">
            <v>330028036.68000001</v>
          </cell>
          <cell r="H278">
            <v>279142909.36000001</v>
          </cell>
          <cell r="I278">
            <v>-133670241.13</v>
          </cell>
        </row>
        <row r="279">
          <cell r="C279">
            <v>21986</v>
          </cell>
          <cell r="E279" t="str">
            <v>MXN</v>
          </cell>
          <cell r="F279">
            <v>-4389490.99</v>
          </cell>
          <cell r="G279">
            <v>4911149.32</v>
          </cell>
          <cell r="H279">
            <v>7601051.2000000002</v>
          </cell>
          <cell r="I279">
            <v>-7079392.8700000001</v>
          </cell>
        </row>
        <row r="280">
          <cell r="C280">
            <v>22007</v>
          </cell>
          <cell r="E280" t="str">
            <v>MXN</v>
          </cell>
          <cell r="F280">
            <v>-4387417.63</v>
          </cell>
          <cell r="G280">
            <v>4856919.7300000004</v>
          </cell>
          <cell r="H280">
            <v>2027807.93</v>
          </cell>
          <cell r="I280">
            <v>-1558305.83</v>
          </cell>
        </row>
        <row r="281">
          <cell r="C281">
            <v>22065</v>
          </cell>
          <cell r="E281" t="str">
            <v>MXN</v>
          </cell>
          <cell r="F281">
            <v>-3284600.45</v>
          </cell>
          <cell r="G281">
            <v>8339338.9299999997</v>
          </cell>
          <cell r="H281">
            <v>4922389.3600000003</v>
          </cell>
          <cell r="I281">
            <v>132349.12</v>
          </cell>
        </row>
        <row r="282">
          <cell r="C282">
            <v>22066</v>
          </cell>
          <cell r="E282" t="str">
            <v>MXN</v>
          </cell>
          <cell r="F282">
            <v>-97629298.319999993</v>
          </cell>
          <cell r="G282">
            <v>153405042.53999999</v>
          </cell>
          <cell r="H282">
            <v>92523770.010000005</v>
          </cell>
          <cell r="I282">
            <v>-36748025.789999999</v>
          </cell>
        </row>
        <row r="283">
          <cell r="C283">
            <v>22068</v>
          </cell>
          <cell r="E283" t="str">
            <v>MXN</v>
          </cell>
          <cell r="F283">
            <v>-28927.45</v>
          </cell>
          <cell r="G283">
            <v>47346492.75</v>
          </cell>
          <cell r="H283">
            <v>60340329.93</v>
          </cell>
          <cell r="I283">
            <v>-13022764.630000001</v>
          </cell>
        </row>
        <row r="284">
          <cell r="C284">
            <v>22140</v>
          </cell>
          <cell r="E284" t="str">
            <v>MXN</v>
          </cell>
          <cell r="F284">
            <v>-2012270.68</v>
          </cell>
          <cell r="G284">
            <v>6072065.6100000003</v>
          </cell>
          <cell r="H284">
            <v>6472629.4100000001</v>
          </cell>
          <cell r="I284">
            <v>-2412834.48</v>
          </cell>
        </row>
        <row r="285">
          <cell r="C285">
            <v>22203</v>
          </cell>
          <cell r="E285" t="str">
            <v>MXN</v>
          </cell>
          <cell r="F285">
            <v>-7529653.5999999996</v>
          </cell>
          <cell r="G285">
            <v>28162742.66</v>
          </cell>
          <cell r="H285">
            <v>24619702.350000001</v>
          </cell>
          <cell r="I285">
            <v>-3986613.29</v>
          </cell>
        </row>
        <row r="286">
          <cell r="C286">
            <v>22225</v>
          </cell>
          <cell r="E286" t="str">
            <v>MXN</v>
          </cell>
          <cell r="F286">
            <v>-31366.46</v>
          </cell>
          <cell r="G286">
            <v>67128.740000000005</v>
          </cell>
          <cell r="H286">
            <v>0</v>
          </cell>
          <cell r="I286">
            <v>35762.28</v>
          </cell>
        </row>
        <row r="287">
          <cell r="C287">
            <v>22253</v>
          </cell>
          <cell r="E287" t="str">
            <v>MXN</v>
          </cell>
          <cell r="F287">
            <v>-4072351.39</v>
          </cell>
          <cell r="G287">
            <v>11442325.01</v>
          </cell>
          <cell r="H287">
            <v>8916823.7200000007</v>
          </cell>
          <cell r="I287">
            <v>-1546850.1</v>
          </cell>
        </row>
        <row r="288">
          <cell r="C288">
            <v>22446</v>
          </cell>
          <cell r="E288" t="str">
            <v>MXN</v>
          </cell>
          <cell r="F288">
            <v>-69545572.230000004</v>
          </cell>
          <cell r="G288">
            <v>438989836.55000001</v>
          </cell>
          <cell r="H288">
            <v>380426790.20999998</v>
          </cell>
          <cell r="I288">
            <v>-10982525.890000001</v>
          </cell>
        </row>
        <row r="289">
          <cell r="C289">
            <v>22457</v>
          </cell>
          <cell r="E289" t="str">
            <v>MXN</v>
          </cell>
          <cell r="F289">
            <v>-25332101.460000001</v>
          </cell>
          <cell r="G289">
            <v>45606072.75</v>
          </cell>
          <cell r="H289">
            <v>30606516.309999999</v>
          </cell>
          <cell r="I289">
            <v>-10332545.02</v>
          </cell>
        </row>
        <row r="290">
          <cell r="C290">
            <v>22506</v>
          </cell>
          <cell r="E290" t="str">
            <v>MXN</v>
          </cell>
          <cell r="F290">
            <v>-12543175.800000001</v>
          </cell>
          <cell r="G290">
            <v>50975828.299999997</v>
          </cell>
          <cell r="H290">
            <v>41505026.520000003</v>
          </cell>
          <cell r="I290">
            <v>-3072374.02</v>
          </cell>
        </row>
        <row r="291">
          <cell r="C291">
            <v>22552</v>
          </cell>
          <cell r="E291" t="str">
            <v>MXN</v>
          </cell>
          <cell r="F291">
            <v>-19514318.84</v>
          </cell>
          <cell r="G291">
            <v>48139461.07</v>
          </cell>
          <cell r="H291">
            <v>31868408.739999998</v>
          </cell>
          <cell r="I291">
            <v>-3243266.51</v>
          </cell>
        </row>
        <row r="292">
          <cell r="C292">
            <v>22582</v>
          </cell>
          <cell r="E292" t="str">
            <v>MXN</v>
          </cell>
          <cell r="F292">
            <v>-18369024.510000002</v>
          </cell>
          <cell r="G292">
            <v>28413320.440000001</v>
          </cell>
          <cell r="H292">
            <v>13175570.32</v>
          </cell>
          <cell r="I292">
            <v>-3131274.39</v>
          </cell>
        </row>
        <row r="293">
          <cell r="C293">
            <v>22605</v>
          </cell>
          <cell r="E293" t="str">
            <v>MXN</v>
          </cell>
          <cell r="F293">
            <v>-2300586.4500000002</v>
          </cell>
          <cell r="G293">
            <v>81430220.120000005</v>
          </cell>
          <cell r="H293">
            <v>79193101.829999998</v>
          </cell>
          <cell r="I293">
            <v>-63468.160000000003</v>
          </cell>
        </row>
        <row r="294">
          <cell r="C294">
            <v>22606</v>
          </cell>
          <cell r="E294" t="str">
            <v>MXN</v>
          </cell>
          <cell r="F294">
            <v>-740379.12</v>
          </cell>
          <cell r="G294">
            <v>2002890.32</v>
          </cell>
          <cell r="H294">
            <v>1899315</v>
          </cell>
          <cell r="I294">
            <v>-636803.80000000005</v>
          </cell>
        </row>
        <row r="295">
          <cell r="C295">
            <v>22637</v>
          </cell>
          <cell r="E295" t="str">
            <v>MXN</v>
          </cell>
          <cell r="F295">
            <v>-4906632.8</v>
          </cell>
          <cell r="G295">
            <v>22094836.100000001</v>
          </cell>
          <cell r="H295">
            <v>23415354</v>
          </cell>
          <cell r="I295">
            <v>-6227150.7000000002</v>
          </cell>
        </row>
        <row r="296">
          <cell r="C296">
            <v>22646</v>
          </cell>
          <cell r="E296" t="str">
            <v>MXN</v>
          </cell>
          <cell r="F296">
            <v>-33057100.649999999</v>
          </cell>
          <cell r="G296">
            <v>54476558.770000003</v>
          </cell>
          <cell r="H296">
            <v>65487964.329999998</v>
          </cell>
          <cell r="I296">
            <v>-44068506.210000001</v>
          </cell>
        </row>
        <row r="297">
          <cell r="C297">
            <v>22666</v>
          </cell>
          <cell r="E297" t="str">
            <v>MXN</v>
          </cell>
          <cell r="F297">
            <v>-1194030.68</v>
          </cell>
          <cell r="G297">
            <v>5069427.09</v>
          </cell>
          <cell r="H297">
            <v>4641384.22</v>
          </cell>
          <cell r="I297">
            <v>-765987.81</v>
          </cell>
        </row>
        <row r="298">
          <cell r="C298">
            <v>22682</v>
          </cell>
          <cell r="E298" t="str">
            <v>MXN</v>
          </cell>
          <cell r="F298">
            <v>-11526802.65</v>
          </cell>
          <cell r="G298">
            <v>48039931.350000001</v>
          </cell>
          <cell r="H298">
            <v>45783847.350000001</v>
          </cell>
          <cell r="I298">
            <v>-9270718.6500000004</v>
          </cell>
        </row>
        <row r="299">
          <cell r="C299">
            <v>22689</v>
          </cell>
          <cell r="E299" t="str">
            <v>MXN</v>
          </cell>
          <cell r="F299">
            <v>15985.24</v>
          </cell>
          <cell r="G299">
            <v>0</v>
          </cell>
          <cell r="H299">
            <v>0</v>
          </cell>
          <cell r="I299">
            <v>15985.24</v>
          </cell>
        </row>
        <row r="300">
          <cell r="C300">
            <v>22711</v>
          </cell>
          <cell r="E300" t="str">
            <v>MXN</v>
          </cell>
          <cell r="F300">
            <v>-3311279.49</v>
          </cell>
          <cell r="G300">
            <v>30980172.949999999</v>
          </cell>
          <cell r="H300">
            <v>31674712.239999998</v>
          </cell>
          <cell r="I300">
            <v>-4005818.78</v>
          </cell>
        </row>
        <row r="301">
          <cell r="C301">
            <v>22726</v>
          </cell>
          <cell r="E301" t="str">
            <v>MXN</v>
          </cell>
          <cell r="F301">
            <v>-3439041.4</v>
          </cell>
          <cell r="G301">
            <v>44190261.170000002</v>
          </cell>
          <cell r="H301">
            <v>42482053.450000003</v>
          </cell>
          <cell r="I301">
            <v>-1730833.68</v>
          </cell>
        </row>
        <row r="302">
          <cell r="C302">
            <v>22729</v>
          </cell>
          <cell r="E302" t="str">
            <v>MXN</v>
          </cell>
          <cell r="F302">
            <v>-33011931.579999998</v>
          </cell>
          <cell r="G302">
            <v>173190989.94999999</v>
          </cell>
          <cell r="H302">
            <v>170622585.12</v>
          </cell>
          <cell r="I302">
            <v>-30443526.75</v>
          </cell>
        </row>
        <row r="303">
          <cell r="C303">
            <v>22734</v>
          </cell>
          <cell r="E303" t="str">
            <v>MXN</v>
          </cell>
          <cell r="F303">
            <v>-1041938.89</v>
          </cell>
          <cell r="G303">
            <v>1960294.9</v>
          </cell>
          <cell r="H303">
            <v>912556.01</v>
          </cell>
          <cell r="I303">
            <v>5800</v>
          </cell>
        </row>
        <row r="304">
          <cell r="C304">
            <v>22777</v>
          </cell>
          <cell r="E304" t="str">
            <v>MXN</v>
          </cell>
          <cell r="F304">
            <v>-159126840.78999999</v>
          </cell>
          <cell r="G304">
            <v>623225503.59000003</v>
          </cell>
          <cell r="H304">
            <v>568730854.21000004</v>
          </cell>
          <cell r="I304">
            <v>-104632191.41</v>
          </cell>
        </row>
        <row r="305">
          <cell r="C305">
            <v>22795</v>
          </cell>
          <cell r="E305" t="str">
            <v>MXN</v>
          </cell>
          <cell r="F305">
            <v>59704.2</v>
          </cell>
          <cell r="G305">
            <v>1094539.18</v>
          </cell>
          <cell r="H305">
            <v>1153113.3400000001</v>
          </cell>
          <cell r="I305">
            <v>1130.04</v>
          </cell>
        </row>
        <row r="306">
          <cell r="C306">
            <v>22831</v>
          </cell>
          <cell r="E306" t="str">
            <v>MXN</v>
          </cell>
          <cell r="F306">
            <v>-1845164.29</v>
          </cell>
          <cell r="G306">
            <v>6139589.7800000003</v>
          </cell>
          <cell r="H306">
            <v>6377269.0800000001</v>
          </cell>
          <cell r="I306">
            <v>-2082843.59</v>
          </cell>
        </row>
        <row r="307">
          <cell r="C307">
            <v>22843</v>
          </cell>
          <cell r="E307" t="str">
            <v>MXN</v>
          </cell>
          <cell r="F307">
            <v>-485742.95</v>
          </cell>
          <cell r="G307">
            <v>394363.77</v>
          </cell>
          <cell r="H307">
            <v>42.56</v>
          </cell>
          <cell r="I307">
            <v>-91421.74</v>
          </cell>
        </row>
        <row r="308">
          <cell r="C308">
            <v>22887</v>
          </cell>
          <cell r="E308" t="str">
            <v>MXN</v>
          </cell>
          <cell r="F308">
            <v>-56975.24</v>
          </cell>
          <cell r="G308">
            <v>100777.64</v>
          </cell>
          <cell r="H308">
            <v>95072.02</v>
          </cell>
          <cell r="I308">
            <v>-51269.62</v>
          </cell>
        </row>
        <row r="309">
          <cell r="C309">
            <v>22914</v>
          </cell>
          <cell r="E309" t="str">
            <v>MXN</v>
          </cell>
          <cell r="F309">
            <v>-10439755.02</v>
          </cell>
          <cell r="G309">
            <v>18351955.02</v>
          </cell>
          <cell r="H309">
            <v>7912200</v>
          </cell>
          <cell r="I309">
            <v>0</v>
          </cell>
        </row>
        <row r="310">
          <cell r="C310">
            <v>22955</v>
          </cell>
          <cell r="E310" t="str">
            <v>MXN</v>
          </cell>
          <cell r="F310">
            <v>-21815497.149999999</v>
          </cell>
          <cell r="G310">
            <v>68126546.969999999</v>
          </cell>
          <cell r="H310">
            <v>57660991.020000003</v>
          </cell>
          <cell r="I310">
            <v>-11349941.199999999</v>
          </cell>
        </row>
        <row r="311">
          <cell r="C311">
            <v>22969</v>
          </cell>
          <cell r="E311" t="str">
            <v>MXN</v>
          </cell>
          <cell r="F311">
            <v>-46152564.020000003</v>
          </cell>
          <cell r="G311">
            <v>85905685.299999997</v>
          </cell>
          <cell r="H311">
            <v>56008687.229999997</v>
          </cell>
          <cell r="I311">
            <v>-16255565.949999999</v>
          </cell>
        </row>
        <row r="312">
          <cell r="C312">
            <v>23020</v>
          </cell>
          <cell r="E312" t="str">
            <v>MXN</v>
          </cell>
          <cell r="F312">
            <v>-13546360.35</v>
          </cell>
          <cell r="G312">
            <v>54551662.280000001</v>
          </cell>
          <cell r="H312">
            <v>51191897.619999997</v>
          </cell>
          <cell r="I312">
            <v>-10186595.689999999</v>
          </cell>
        </row>
        <row r="313">
          <cell r="C313">
            <v>23071</v>
          </cell>
          <cell r="E313" t="str">
            <v>MXN</v>
          </cell>
          <cell r="F313">
            <v>-138924654.13999999</v>
          </cell>
          <cell r="G313">
            <v>172263188</v>
          </cell>
          <cell r="H313">
            <v>97196914.769999996</v>
          </cell>
          <cell r="I313">
            <v>-63858380.909999996</v>
          </cell>
        </row>
        <row r="314">
          <cell r="C314">
            <v>23081</v>
          </cell>
          <cell r="E314" t="str">
            <v>MXN</v>
          </cell>
          <cell r="F314">
            <v>-694968.89</v>
          </cell>
          <cell r="G314">
            <v>692714.4</v>
          </cell>
          <cell r="H314">
            <v>0</v>
          </cell>
          <cell r="I314">
            <v>-2254.4899999999998</v>
          </cell>
        </row>
        <row r="315">
          <cell r="C315">
            <v>23146</v>
          </cell>
          <cell r="E315" t="str">
            <v>MXN</v>
          </cell>
          <cell r="F315">
            <v>-23244792.399999999</v>
          </cell>
          <cell r="G315">
            <v>93298857.859999999</v>
          </cell>
          <cell r="H315">
            <v>89635824.090000004</v>
          </cell>
          <cell r="I315">
            <v>-19581758.629999999</v>
          </cell>
        </row>
        <row r="316">
          <cell r="C316">
            <v>23157</v>
          </cell>
          <cell r="E316" t="str">
            <v>MXN</v>
          </cell>
          <cell r="F316">
            <v>-26220069.670000002</v>
          </cell>
          <cell r="G316">
            <v>105919263.34999999</v>
          </cell>
          <cell r="H316">
            <v>118517305</v>
          </cell>
          <cell r="I316">
            <v>-38818111.32</v>
          </cell>
        </row>
        <row r="317">
          <cell r="C317">
            <v>23210</v>
          </cell>
          <cell r="E317" t="str">
            <v>MXN</v>
          </cell>
          <cell r="F317">
            <v>-21344197.73</v>
          </cell>
          <cell r="G317">
            <v>39450942.909999996</v>
          </cell>
          <cell r="H317">
            <v>33864237.5</v>
          </cell>
          <cell r="I317">
            <v>-15757492.32</v>
          </cell>
        </row>
        <row r="318">
          <cell r="C318">
            <v>23217</v>
          </cell>
          <cell r="E318" t="str">
            <v>MXN</v>
          </cell>
          <cell r="F318">
            <v>-1486.12</v>
          </cell>
          <cell r="G318">
            <v>79810.06</v>
          </cell>
          <cell r="H318">
            <v>321096.46999999997</v>
          </cell>
          <cell r="I318">
            <v>-242772.53</v>
          </cell>
        </row>
        <row r="319">
          <cell r="C319">
            <v>23243</v>
          </cell>
          <cell r="E319" t="str">
            <v>MXN</v>
          </cell>
          <cell r="F319">
            <v>112</v>
          </cell>
          <cell r="G319">
            <v>0</v>
          </cell>
          <cell r="H319">
            <v>0</v>
          </cell>
          <cell r="I319">
            <v>112</v>
          </cell>
        </row>
        <row r="320">
          <cell r="C320">
            <v>23285</v>
          </cell>
          <cell r="E320" t="str">
            <v>MXN</v>
          </cell>
          <cell r="F320">
            <v>-7981068.1900000004</v>
          </cell>
          <cell r="G320">
            <v>21047367.940000001</v>
          </cell>
          <cell r="H320">
            <v>20239325.48</v>
          </cell>
          <cell r="I320">
            <v>-7173025.7300000004</v>
          </cell>
        </row>
        <row r="321">
          <cell r="C321">
            <v>23318</v>
          </cell>
          <cell r="E321" t="str">
            <v>MXN</v>
          </cell>
          <cell r="F321">
            <v>-9710391.6899999995</v>
          </cell>
          <cell r="G321">
            <v>14206800.75</v>
          </cell>
          <cell r="H321">
            <v>7207543.0899999999</v>
          </cell>
          <cell r="I321">
            <v>-2711134.03</v>
          </cell>
        </row>
        <row r="322">
          <cell r="C322">
            <v>23372</v>
          </cell>
          <cell r="E322" t="str">
            <v>MXN</v>
          </cell>
          <cell r="F322">
            <v>-17681</v>
          </cell>
          <cell r="G322">
            <v>31782.51</v>
          </cell>
          <cell r="H322">
            <v>108486</v>
          </cell>
          <cell r="I322">
            <v>-94384.49</v>
          </cell>
        </row>
        <row r="323">
          <cell r="C323">
            <v>23431</v>
          </cell>
          <cell r="E323" t="str">
            <v>MXN</v>
          </cell>
          <cell r="F323">
            <v>-509980.66</v>
          </cell>
          <cell r="G323">
            <v>1110363.73</v>
          </cell>
          <cell r="H323">
            <v>841544.82</v>
          </cell>
          <cell r="I323">
            <v>-241161.75</v>
          </cell>
        </row>
        <row r="324">
          <cell r="C324">
            <v>23460</v>
          </cell>
          <cell r="E324" t="str">
            <v>MXN</v>
          </cell>
          <cell r="F324">
            <v>-18188923.469999999</v>
          </cell>
          <cell r="G324">
            <v>32881022.100000001</v>
          </cell>
          <cell r="H324">
            <v>27358206.09</v>
          </cell>
          <cell r="I324">
            <v>-12666107.460000001</v>
          </cell>
        </row>
        <row r="325">
          <cell r="C325">
            <v>23473</v>
          </cell>
          <cell r="E325" t="str">
            <v>MXN</v>
          </cell>
          <cell r="F325">
            <v>-13466388.25</v>
          </cell>
          <cell r="G325">
            <v>14617800.390000001</v>
          </cell>
          <cell r="H325">
            <v>4335606.72</v>
          </cell>
          <cell r="I325">
            <v>-3184194.58</v>
          </cell>
        </row>
        <row r="326">
          <cell r="C326">
            <v>23489</v>
          </cell>
          <cell r="E326" t="str">
            <v>MXN</v>
          </cell>
          <cell r="F326">
            <v>-2069160.86</v>
          </cell>
          <cell r="G326">
            <v>8276621.6900000004</v>
          </cell>
          <cell r="H326">
            <v>8257749.6600000001</v>
          </cell>
          <cell r="I326">
            <v>-2050288.83</v>
          </cell>
        </row>
        <row r="327">
          <cell r="C327">
            <v>23490</v>
          </cell>
          <cell r="E327" t="str">
            <v>MXN</v>
          </cell>
          <cell r="F327">
            <v>287183.8</v>
          </cell>
          <cell r="G327">
            <v>0</v>
          </cell>
          <cell r="H327">
            <v>0</v>
          </cell>
          <cell r="I327">
            <v>287183.8</v>
          </cell>
        </row>
        <row r="328">
          <cell r="C328">
            <v>23533</v>
          </cell>
          <cell r="E328" t="str">
            <v>MXN</v>
          </cell>
          <cell r="F328">
            <v>-118093.12</v>
          </cell>
          <cell r="G328">
            <v>602877.6</v>
          </cell>
          <cell r="H328">
            <v>602877.6</v>
          </cell>
          <cell r="I328">
            <v>-118093.12</v>
          </cell>
        </row>
        <row r="329">
          <cell r="C329">
            <v>23547</v>
          </cell>
          <cell r="E329" t="str">
            <v>MXN</v>
          </cell>
          <cell r="F329">
            <v>-3362921.97</v>
          </cell>
          <cell r="G329">
            <v>5068978.8499999996</v>
          </cell>
          <cell r="H329">
            <v>5060106</v>
          </cell>
          <cell r="I329">
            <v>-3354049.12</v>
          </cell>
        </row>
        <row r="330">
          <cell r="C330">
            <v>23596</v>
          </cell>
          <cell r="E330" t="str">
            <v>MXN</v>
          </cell>
          <cell r="F330">
            <v>-358313.8</v>
          </cell>
          <cell r="G330">
            <v>974314.71</v>
          </cell>
          <cell r="H330">
            <v>616000.91</v>
          </cell>
          <cell r="I330">
            <v>0</v>
          </cell>
        </row>
        <row r="331">
          <cell r="C331">
            <v>23597</v>
          </cell>
          <cell r="E331" t="str">
            <v>MXN</v>
          </cell>
          <cell r="F331">
            <v>-79508215.989999995</v>
          </cell>
          <cell r="G331">
            <v>127131945.65000001</v>
          </cell>
          <cell r="H331">
            <v>159298796.11000001</v>
          </cell>
          <cell r="I331">
            <v>-111675066.45</v>
          </cell>
        </row>
        <row r="332">
          <cell r="C332">
            <v>23647</v>
          </cell>
          <cell r="E332" t="str">
            <v>MXN</v>
          </cell>
          <cell r="F332">
            <v>-616464.93000000005</v>
          </cell>
          <cell r="G332">
            <v>2816512.53</v>
          </cell>
          <cell r="H332">
            <v>2477675.27</v>
          </cell>
          <cell r="I332">
            <v>-277627.67</v>
          </cell>
        </row>
        <row r="333">
          <cell r="C333">
            <v>23652</v>
          </cell>
          <cell r="E333" t="str">
            <v>MXN</v>
          </cell>
          <cell r="F333">
            <v>-345989.73</v>
          </cell>
          <cell r="G333">
            <v>3743071.25</v>
          </cell>
          <cell r="H333">
            <v>4501386.84</v>
          </cell>
          <cell r="I333">
            <v>-1104305.32</v>
          </cell>
        </row>
        <row r="334">
          <cell r="C334">
            <v>23673</v>
          </cell>
          <cell r="E334" t="str">
            <v>MXN</v>
          </cell>
          <cell r="F334">
            <v>-2867731.72</v>
          </cell>
          <cell r="G334">
            <v>10439439.380000001</v>
          </cell>
          <cell r="H334">
            <v>9483595.1699999999</v>
          </cell>
          <cell r="I334">
            <v>-1911887.51</v>
          </cell>
        </row>
        <row r="335">
          <cell r="C335">
            <v>23695</v>
          </cell>
          <cell r="E335" t="str">
            <v>MXN</v>
          </cell>
          <cell r="F335">
            <v>-3309820.64</v>
          </cell>
          <cell r="G335">
            <v>4977477.1100000003</v>
          </cell>
          <cell r="H335">
            <v>2187078.92</v>
          </cell>
          <cell r="I335">
            <v>-519422.45</v>
          </cell>
        </row>
        <row r="336">
          <cell r="C336">
            <v>23698</v>
          </cell>
          <cell r="E336" t="str">
            <v>MXN</v>
          </cell>
          <cell r="F336">
            <v>-5743215.3700000001</v>
          </cell>
          <cell r="G336">
            <v>35608393.710000001</v>
          </cell>
          <cell r="H336">
            <v>38316627.119999997</v>
          </cell>
          <cell r="I336">
            <v>-8451448.7799999993</v>
          </cell>
        </row>
        <row r="337">
          <cell r="C337">
            <v>23709</v>
          </cell>
          <cell r="E337" t="str">
            <v>MXN</v>
          </cell>
          <cell r="F337">
            <v>-3097875.26</v>
          </cell>
          <cell r="G337">
            <v>6972751.96</v>
          </cell>
          <cell r="H337">
            <v>6785427.9299999997</v>
          </cell>
          <cell r="I337">
            <v>-2910551.23</v>
          </cell>
        </row>
        <row r="338">
          <cell r="C338">
            <v>23737</v>
          </cell>
          <cell r="E338" t="str">
            <v>MXN</v>
          </cell>
          <cell r="F338">
            <v>-612341.94999999995</v>
          </cell>
          <cell r="G338">
            <v>872286.13</v>
          </cell>
          <cell r="H338">
            <v>865356.18</v>
          </cell>
          <cell r="I338">
            <v>-605412</v>
          </cell>
        </row>
        <row r="339">
          <cell r="C339">
            <v>23744</v>
          </cell>
          <cell r="E339" t="str">
            <v>MXN</v>
          </cell>
          <cell r="F339">
            <v>-591654</v>
          </cell>
          <cell r="G339">
            <v>700770.72</v>
          </cell>
          <cell r="H339">
            <v>327.26</v>
          </cell>
          <cell r="I339">
            <v>108789.46</v>
          </cell>
        </row>
        <row r="340">
          <cell r="C340">
            <v>23756</v>
          </cell>
          <cell r="E340" t="str">
            <v>MXN</v>
          </cell>
          <cell r="F340">
            <v>-14597703.050000001</v>
          </cell>
          <cell r="G340">
            <v>34016109.100000001</v>
          </cell>
          <cell r="H340">
            <v>22792497.82</v>
          </cell>
          <cell r="I340">
            <v>-3374091.77</v>
          </cell>
        </row>
        <row r="341">
          <cell r="C341">
            <v>23830</v>
          </cell>
          <cell r="E341" t="str">
            <v>MXN</v>
          </cell>
          <cell r="F341">
            <v>-12486772.02</v>
          </cell>
          <cell r="G341">
            <v>20100455.329999998</v>
          </cell>
          <cell r="H341">
            <v>8090187.8799999999</v>
          </cell>
          <cell r="I341">
            <v>-476504.57</v>
          </cell>
        </row>
        <row r="342">
          <cell r="C342">
            <v>23833</v>
          </cell>
          <cell r="E342" t="str">
            <v>MXN</v>
          </cell>
          <cell r="F342">
            <v>-3029951.02</v>
          </cell>
          <cell r="G342">
            <v>6545355.0499999998</v>
          </cell>
          <cell r="H342">
            <v>4051766.89</v>
          </cell>
          <cell r="I342">
            <v>-536362.86</v>
          </cell>
        </row>
        <row r="343">
          <cell r="C343">
            <v>23836</v>
          </cell>
          <cell r="E343" t="str">
            <v>MXN</v>
          </cell>
          <cell r="F343">
            <v>-20341439.27</v>
          </cell>
          <cell r="G343">
            <v>59698795.560000002</v>
          </cell>
          <cell r="H343">
            <v>77472183.099999994</v>
          </cell>
          <cell r="I343">
            <v>-38114826.810000002</v>
          </cell>
        </row>
        <row r="344">
          <cell r="C344">
            <v>23842</v>
          </cell>
          <cell r="E344" t="str">
            <v>MXN</v>
          </cell>
          <cell r="F344">
            <v>-14740913.43</v>
          </cell>
          <cell r="G344">
            <v>63591343.25</v>
          </cell>
          <cell r="H344">
            <v>65706774.469999999</v>
          </cell>
          <cell r="I344">
            <v>-16856344.649999999</v>
          </cell>
        </row>
        <row r="345">
          <cell r="C345">
            <v>23864</v>
          </cell>
          <cell r="E345" t="str">
            <v>MXN</v>
          </cell>
          <cell r="F345">
            <v>-2144043.7400000002</v>
          </cell>
          <cell r="G345">
            <v>32055139.120000001</v>
          </cell>
          <cell r="H345">
            <v>37458421.07</v>
          </cell>
          <cell r="I345">
            <v>-7547325.6900000004</v>
          </cell>
        </row>
        <row r="346">
          <cell r="C346">
            <v>23873</v>
          </cell>
          <cell r="E346" t="str">
            <v>MXN</v>
          </cell>
          <cell r="F346">
            <v>-6188332.8099999996</v>
          </cell>
          <cell r="G346">
            <v>19982222.960000001</v>
          </cell>
          <cell r="H346">
            <v>15624057.75</v>
          </cell>
          <cell r="I346">
            <v>-1830167.6</v>
          </cell>
        </row>
        <row r="347">
          <cell r="C347">
            <v>23889</v>
          </cell>
          <cell r="E347" t="str">
            <v>MXN</v>
          </cell>
          <cell r="F347">
            <v>-485424.44</v>
          </cell>
          <cell r="G347">
            <v>812057.53</v>
          </cell>
          <cell r="H347">
            <v>751124.93</v>
          </cell>
          <cell r="I347">
            <v>-424491.84</v>
          </cell>
        </row>
        <row r="348">
          <cell r="C348">
            <v>23914</v>
          </cell>
          <cell r="E348" t="str">
            <v>MXN</v>
          </cell>
          <cell r="F348">
            <v>-9122193.0199999996</v>
          </cell>
          <cell r="G348">
            <v>23905948.640000001</v>
          </cell>
          <cell r="H348">
            <v>18211283.800000001</v>
          </cell>
          <cell r="I348">
            <v>-3427528.18</v>
          </cell>
        </row>
        <row r="349">
          <cell r="C349">
            <v>23939</v>
          </cell>
          <cell r="E349" t="str">
            <v>MXN</v>
          </cell>
          <cell r="F349">
            <v>-612020</v>
          </cell>
          <cell r="G349">
            <v>1847438.54</v>
          </cell>
          <cell r="H349">
            <v>1223704.71</v>
          </cell>
          <cell r="I349">
            <v>11713.83</v>
          </cell>
        </row>
        <row r="350">
          <cell r="C350">
            <v>23950</v>
          </cell>
          <cell r="E350" t="str">
            <v>MXN</v>
          </cell>
          <cell r="F350">
            <v>-4134667.14</v>
          </cell>
          <cell r="G350">
            <v>10573406.369999999</v>
          </cell>
          <cell r="H350">
            <v>7316111.8499999996</v>
          </cell>
          <cell r="I350">
            <v>-877372.62</v>
          </cell>
        </row>
        <row r="351">
          <cell r="C351">
            <v>23962</v>
          </cell>
          <cell r="E351" t="str">
            <v>MXN</v>
          </cell>
          <cell r="F351">
            <v>-371137765.93000001</v>
          </cell>
          <cell r="G351">
            <v>514614998.25</v>
          </cell>
          <cell r="H351">
            <v>605829649.48000002</v>
          </cell>
          <cell r="I351">
            <v>-462352417.16000003</v>
          </cell>
        </row>
        <row r="352">
          <cell r="C352">
            <v>24017</v>
          </cell>
          <cell r="E352" t="str">
            <v>MXN</v>
          </cell>
          <cell r="F352">
            <v>-17723597.75</v>
          </cell>
          <cell r="G352">
            <v>28290311.73</v>
          </cell>
          <cell r="H352">
            <v>11109384.5</v>
          </cell>
          <cell r="I352">
            <v>-542670.52</v>
          </cell>
        </row>
        <row r="353">
          <cell r="C353">
            <v>24049</v>
          </cell>
          <cell r="E353" t="str">
            <v>MXN</v>
          </cell>
          <cell r="F353">
            <v>-1826101.01</v>
          </cell>
          <cell r="G353">
            <v>4261062.07</v>
          </cell>
          <cell r="H353">
            <v>4271838.5</v>
          </cell>
          <cell r="I353">
            <v>-1836877.44</v>
          </cell>
        </row>
        <row r="354">
          <cell r="C354">
            <v>24059</v>
          </cell>
          <cell r="E354" t="str">
            <v>MXN</v>
          </cell>
          <cell r="F354">
            <v>-105729910.63</v>
          </cell>
          <cell r="G354">
            <v>512024598.88999999</v>
          </cell>
          <cell r="H354">
            <v>692239086.52999997</v>
          </cell>
          <cell r="I354">
            <v>-285944398.26999998</v>
          </cell>
        </row>
        <row r="355">
          <cell r="C355">
            <v>24072</v>
          </cell>
          <cell r="E355" t="str">
            <v>MXN</v>
          </cell>
          <cell r="F355">
            <v>-3348892.49</v>
          </cell>
          <cell r="G355">
            <v>3348892.49</v>
          </cell>
          <cell r="H355">
            <v>0</v>
          </cell>
          <cell r="I355">
            <v>0</v>
          </cell>
        </row>
        <row r="356">
          <cell r="C356">
            <v>24078</v>
          </cell>
          <cell r="E356" t="str">
            <v>MXN</v>
          </cell>
          <cell r="F356">
            <v>-9224795.1899999995</v>
          </cell>
          <cell r="G356">
            <v>18626327.649999999</v>
          </cell>
          <cell r="H356">
            <v>25944994.469999999</v>
          </cell>
          <cell r="I356">
            <v>-16543462.01</v>
          </cell>
        </row>
        <row r="357">
          <cell r="C357">
            <v>24085</v>
          </cell>
          <cell r="E357" t="str">
            <v>MXN</v>
          </cell>
          <cell r="F357">
            <v>-398652.77</v>
          </cell>
          <cell r="G357">
            <v>3290268.16</v>
          </cell>
          <cell r="H357">
            <v>3942573.39</v>
          </cell>
          <cell r="I357">
            <v>-1050958</v>
          </cell>
        </row>
        <row r="358">
          <cell r="C358">
            <v>24090</v>
          </cell>
          <cell r="E358" t="str">
            <v>MXN</v>
          </cell>
          <cell r="F358">
            <v>-575732.44999999995</v>
          </cell>
          <cell r="G358">
            <v>2691456.51</v>
          </cell>
          <cell r="H358">
            <v>3269808</v>
          </cell>
          <cell r="I358">
            <v>-1154083.94</v>
          </cell>
        </row>
        <row r="359">
          <cell r="C359">
            <v>24125</v>
          </cell>
          <cell r="E359" t="str">
            <v>MXN</v>
          </cell>
          <cell r="F359">
            <v>-6487856.46</v>
          </cell>
          <cell r="G359">
            <v>9991886.6999999993</v>
          </cell>
          <cell r="H359">
            <v>4326893.21</v>
          </cell>
          <cell r="I359">
            <v>-822862.97</v>
          </cell>
        </row>
        <row r="360">
          <cell r="C360">
            <v>24174</v>
          </cell>
          <cell r="E360" t="str">
            <v>MXN</v>
          </cell>
          <cell r="F360">
            <v>-20263884.559999999</v>
          </cell>
          <cell r="G360">
            <v>46188069.049999997</v>
          </cell>
          <cell r="H360">
            <v>38153243.600000001</v>
          </cell>
          <cell r="I360">
            <v>-12229059.109999999</v>
          </cell>
        </row>
        <row r="361">
          <cell r="C361">
            <v>24177</v>
          </cell>
          <cell r="E361" t="str">
            <v>MXN</v>
          </cell>
          <cell r="F361">
            <v>-4802552.46</v>
          </cell>
          <cell r="G361">
            <v>4890457.33</v>
          </cell>
          <cell r="H361">
            <v>1829388.54</v>
          </cell>
          <cell r="I361">
            <v>-1741483.67</v>
          </cell>
        </row>
        <row r="362">
          <cell r="C362">
            <v>24221</v>
          </cell>
          <cell r="E362" t="str">
            <v>MXN</v>
          </cell>
          <cell r="F362">
            <v>-6787603.8600000003</v>
          </cell>
          <cell r="G362">
            <v>9103919.8300000001</v>
          </cell>
          <cell r="H362">
            <v>9461010.4600000009</v>
          </cell>
          <cell r="I362">
            <v>-7144694.4900000002</v>
          </cell>
        </row>
        <row r="363">
          <cell r="C363">
            <v>24232</v>
          </cell>
          <cell r="E363" t="str">
            <v>MXN</v>
          </cell>
          <cell r="F363">
            <v>-78302442.950000003</v>
          </cell>
          <cell r="G363">
            <v>181979867.15000001</v>
          </cell>
          <cell r="H363">
            <v>192916218.25999999</v>
          </cell>
          <cell r="I363">
            <v>-89238794.060000002</v>
          </cell>
        </row>
        <row r="364">
          <cell r="C364">
            <v>24249</v>
          </cell>
          <cell r="E364" t="str">
            <v>MXN</v>
          </cell>
          <cell r="F364">
            <v>-7439093.4900000002</v>
          </cell>
          <cell r="G364">
            <v>28105925.780000001</v>
          </cell>
          <cell r="H364">
            <v>26415908.890000001</v>
          </cell>
          <cell r="I364">
            <v>-5749076.5999999996</v>
          </cell>
        </row>
        <row r="365">
          <cell r="C365">
            <v>24282</v>
          </cell>
          <cell r="E365" t="str">
            <v>MXN</v>
          </cell>
          <cell r="F365">
            <v>-239149240.34999999</v>
          </cell>
          <cell r="G365">
            <v>388931208.13999999</v>
          </cell>
          <cell r="H365">
            <v>543580790.63</v>
          </cell>
          <cell r="I365">
            <v>-393798822.83999997</v>
          </cell>
        </row>
        <row r="366">
          <cell r="C366">
            <v>24309</v>
          </cell>
          <cell r="E366" t="str">
            <v>MXN</v>
          </cell>
          <cell r="F366">
            <v>-4473308.0999999996</v>
          </cell>
          <cell r="G366">
            <v>11052333.35</v>
          </cell>
          <cell r="H366">
            <v>8975608.0999999996</v>
          </cell>
          <cell r="I366">
            <v>-2396582.85</v>
          </cell>
        </row>
        <row r="367">
          <cell r="C367">
            <v>24313</v>
          </cell>
          <cell r="E367" t="str">
            <v>MXN</v>
          </cell>
          <cell r="F367">
            <v>-1647688.94</v>
          </cell>
          <cell r="G367">
            <v>3834629.56</v>
          </cell>
          <cell r="H367">
            <v>3337548.1</v>
          </cell>
          <cell r="I367">
            <v>-1150607.48</v>
          </cell>
        </row>
        <row r="368">
          <cell r="C368">
            <v>24326</v>
          </cell>
          <cell r="E368" t="str">
            <v>MXN</v>
          </cell>
          <cell r="F368">
            <v>-545422.65</v>
          </cell>
          <cell r="G368">
            <v>709072.53</v>
          </cell>
          <cell r="H368">
            <v>678568.75</v>
          </cell>
          <cell r="I368">
            <v>-514918.87</v>
          </cell>
        </row>
        <row r="369">
          <cell r="C369">
            <v>24332</v>
          </cell>
          <cell r="E369" t="str">
            <v>MXN</v>
          </cell>
          <cell r="F369">
            <v>-1103094.8999999999</v>
          </cell>
          <cell r="G369">
            <v>2879074.3</v>
          </cell>
          <cell r="H369">
            <v>2172597.6</v>
          </cell>
          <cell r="I369">
            <v>-396618.2</v>
          </cell>
        </row>
        <row r="370">
          <cell r="C370">
            <v>24333</v>
          </cell>
          <cell r="E370" t="str">
            <v>MXN</v>
          </cell>
          <cell r="F370">
            <v>-35269.279999999999</v>
          </cell>
          <cell r="G370">
            <v>286411.84000000003</v>
          </cell>
          <cell r="H370">
            <v>269504.56</v>
          </cell>
          <cell r="I370">
            <v>-18362</v>
          </cell>
        </row>
        <row r="371">
          <cell r="C371">
            <v>24388</v>
          </cell>
          <cell r="E371" t="str">
            <v>MXN</v>
          </cell>
          <cell r="F371">
            <v>285516.64</v>
          </cell>
          <cell r="G371">
            <v>0</v>
          </cell>
          <cell r="H371">
            <v>0</v>
          </cell>
          <cell r="I371">
            <v>285516.64</v>
          </cell>
        </row>
        <row r="372">
          <cell r="C372">
            <v>24410</v>
          </cell>
          <cell r="E372" t="str">
            <v>MXN</v>
          </cell>
          <cell r="F372">
            <v>-329625.09000000003</v>
          </cell>
          <cell r="G372">
            <v>646024.07999999996</v>
          </cell>
          <cell r="H372">
            <v>460819.33</v>
          </cell>
          <cell r="I372">
            <v>-144420.34</v>
          </cell>
        </row>
        <row r="373">
          <cell r="C373">
            <v>24447</v>
          </cell>
          <cell r="E373" t="str">
            <v>MXN</v>
          </cell>
          <cell r="F373">
            <v>-1709310.87</v>
          </cell>
          <cell r="G373">
            <v>19957034.190000001</v>
          </cell>
          <cell r="H373">
            <v>19229063.850000001</v>
          </cell>
          <cell r="I373">
            <v>-981340.53</v>
          </cell>
        </row>
        <row r="374">
          <cell r="C374">
            <v>24476</v>
          </cell>
          <cell r="E374" t="str">
            <v>MXN</v>
          </cell>
          <cell r="F374">
            <v>-5658752.8799999999</v>
          </cell>
          <cell r="G374">
            <v>15072404.310000001</v>
          </cell>
          <cell r="H374">
            <v>11048803.5</v>
          </cell>
          <cell r="I374">
            <v>-1635152.07</v>
          </cell>
        </row>
        <row r="375">
          <cell r="C375">
            <v>24489</v>
          </cell>
          <cell r="E375" t="str">
            <v>MXN</v>
          </cell>
          <cell r="F375">
            <v>-20939833.57</v>
          </cell>
          <cell r="G375">
            <v>36597221.460000001</v>
          </cell>
          <cell r="H375">
            <v>38090268.240000002</v>
          </cell>
          <cell r="I375">
            <v>-22432880.350000001</v>
          </cell>
        </row>
        <row r="376">
          <cell r="C376">
            <v>24498</v>
          </cell>
          <cell r="E376" t="str">
            <v>MXN</v>
          </cell>
          <cell r="F376">
            <v>-10032549.48</v>
          </cell>
          <cell r="G376">
            <v>33632125.079999998</v>
          </cell>
          <cell r="H376">
            <v>26465402.920000002</v>
          </cell>
          <cell r="I376">
            <v>-2865827.32</v>
          </cell>
        </row>
        <row r="377">
          <cell r="C377">
            <v>24509</v>
          </cell>
          <cell r="E377" t="str">
            <v>MXN</v>
          </cell>
          <cell r="F377">
            <v>-6637630.7199999997</v>
          </cell>
          <cell r="G377">
            <v>7683617.6299999999</v>
          </cell>
          <cell r="H377">
            <v>8472000.7100000009</v>
          </cell>
          <cell r="I377">
            <v>-7426013.7999999998</v>
          </cell>
        </row>
        <row r="378">
          <cell r="C378">
            <v>24564</v>
          </cell>
          <cell r="E378" t="str">
            <v>MXN</v>
          </cell>
          <cell r="F378">
            <v>-31550254.440000001</v>
          </cell>
          <cell r="G378">
            <v>59573200.43</v>
          </cell>
          <cell r="H378">
            <v>65309865.770000003</v>
          </cell>
          <cell r="I378">
            <v>-37286919.780000001</v>
          </cell>
        </row>
        <row r="379">
          <cell r="C379">
            <v>24568</v>
          </cell>
          <cell r="E379" t="str">
            <v>MXN</v>
          </cell>
          <cell r="F379">
            <v>-3054763.91</v>
          </cell>
          <cell r="G379">
            <v>3991857.39</v>
          </cell>
          <cell r="H379">
            <v>2133005.2200000002</v>
          </cell>
          <cell r="I379">
            <v>-1195911.74</v>
          </cell>
        </row>
        <row r="380">
          <cell r="C380">
            <v>24577</v>
          </cell>
          <cell r="E380" t="str">
            <v>MXN</v>
          </cell>
          <cell r="F380">
            <v>-21917468.91</v>
          </cell>
          <cell r="G380">
            <v>52701585.270000003</v>
          </cell>
          <cell r="H380">
            <v>52268244.130000003</v>
          </cell>
          <cell r="I380">
            <v>-21484127.77</v>
          </cell>
        </row>
        <row r="381">
          <cell r="C381">
            <v>24578</v>
          </cell>
          <cell r="E381" t="str">
            <v>MXN</v>
          </cell>
          <cell r="F381">
            <v>-80339976.319999993</v>
          </cell>
          <cell r="G381">
            <v>189864205.13999999</v>
          </cell>
          <cell r="H381">
            <v>257809195.63</v>
          </cell>
          <cell r="I381">
            <v>-148284966.81</v>
          </cell>
        </row>
        <row r="382">
          <cell r="C382">
            <v>24592</v>
          </cell>
          <cell r="E382" t="str">
            <v>MXN</v>
          </cell>
          <cell r="F382">
            <v>14863.91</v>
          </cell>
          <cell r="G382">
            <v>0</v>
          </cell>
          <cell r="H382">
            <v>0</v>
          </cell>
          <cell r="I382">
            <v>14863.91</v>
          </cell>
        </row>
        <row r="383">
          <cell r="C383">
            <v>24614</v>
          </cell>
          <cell r="E383" t="str">
            <v>MXN</v>
          </cell>
          <cell r="F383">
            <v>-6717941.0300000003</v>
          </cell>
          <cell r="G383">
            <v>39404690.729999997</v>
          </cell>
          <cell r="H383">
            <v>50577819.049999997</v>
          </cell>
          <cell r="I383">
            <v>-17891069.350000001</v>
          </cell>
        </row>
        <row r="384">
          <cell r="C384">
            <v>24615</v>
          </cell>
          <cell r="E384" t="str">
            <v>MXN</v>
          </cell>
          <cell r="F384">
            <v>0</v>
          </cell>
          <cell r="G384">
            <v>295569.69</v>
          </cell>
          <cell r="H384">
            <v>4746027.8899999997</v>
          </cell>
          <cell r="I384">
            <v>-4450458.2</v>
          </cell>
        </row>
        <row r="385">
          <cell r="C385">
            <v>24622</v>
          </cell>
          <cell r="E385" t="str">
            <v>MXN</v>
          </cell>
          <cell r="F385">
            <v>-2580488.09</v>
          </cell>
          <cell r="G385">
            <v>17444188.550000001</v>
          </cell>
          <cell r="H385">
            <v>18795605.010000002</v>
          </cell>
          <cell r="I385">
            <v>-3931904.55</v>
          </cell>
        </row>
        <row r="386">
          <cell r="C386">
            <v>24646</v>
          </cell>
          <cell r="E386" t="str">
            <v>MXN</v>
          </cell>
          <cell r="F386">
            <v>-400425.15</v>
          </cell>
          <cell r="G386">
            <v>815073.2</v>
          </cell>
          <cell r="H386">
            <v>1007989.29</v>
          </cell>
          <cell r="I386">
            <v>-593341.24</v>
          </cell>
        </row>
        <row r="387">
          <cell r="C387">
            <v>24651</v>
          </cell>
          <cell r="E387" t="str">
            <v>MXN</v>
          </cell>
          <cell r="F387">
            <v>-238032.2</v>
          </cell>
          <cell r="G387">
            <v>1099602.08</v>
          </cell>
          <cell r="H387">
            <v>945444.84</v>
          </cell>
          <cell r="I387">
            <v>-83874.960000000006</v>
          </cell>
        </row>
        <row r="388">
          <cell r="C388">
            <v>24656</v>
          </cell>
          <cell r="E388" t="str">
            <v>MXN</v>
          </cell>
          <cell r="F388">
            <v>-897196.14</v>
          </cell>
          <cell r="G388">
            <v>903970.54</v>
          </cell>
          <cell r="H388">
            <v>1131116</v>
          </cell>
          <cell r="I388">
            <v>-1124341.6000000001</v>
          </cell>
        </row>
        <row r="389">
          <cell r="C389">
            <v>24685</v>
          </cell>
          <cell r="E389" t="str">
            <v>MXN</v>
          </cell>
          <cell r="F389">
            <v>-5270523.18</v>
          </cell>
          <cell r="G389">
            <v>23158967.960000001</v>
          </cell>
          <cell r="H389">
            <v>22355752.690000001</v>
          </cell>
          <cell r="I389">
            <v>-4467307.91</v>
          </cell>
        </row>
        <row r="390">
          <cell r="C390">
            <v>24687</v>
          </cell>
          <cell r="E390" t="str">
            <v>MXN</v>
          </cell>
          <cell r="F390">
            <v>-16753643.67</v>
          </cell>
          <cell r="G390">
            <v>21113095.5</v>
          </cell>
          <cell r="H390">
            <v>6237395.3399999999</v>
          </cell>
          <cell r="I390">
            <v>-1877943.51</v>
          </cell>
        </row>
        <row r="391">
          <cell r="C391">
            <v>24706</v>
          </cell>
          <cell r="E391" t="str">
            <v>MXN</v>
          </cell>
          <cell r="F391">
            <v>-7250194.7999999998</v>
          </cell>
          <cell r="G391">
            <v>35728718.700000003</v>
          </cell>
          <cell r="H391">
            <v>39914524.899999999</v>
          </cell>
          <cell r="I391">
            <v>-11436001</v>
          </cell>
        </row>
        <row r="392">
          <cell r="C392">
            <v>24747</v>
          </cell>
          <cell r="E392" t="str">
            <v>MXN</v>
          </cell>
          <cell r="F392">
            <v>-5252241.3899999997</v>
          </cell>
          <cell r="G392">
            <v>25875137.379999999</v>
          </cell>
          <cell r="H392">
            <v>26378693.719999999</v>
          </cell>
          <cell r="I392">
            <v>-5755797.7300000004</v>
          </cell>
        </row>
        <row r="393">
          <cell r="C393">
            <v>24757</v>
          </cell>
          <cell r="E393" t="str">
            <v>MXN</v>
          </cell>
          <cell r="F393">
            <v>-7353011.3200000003</v>
          </cell>
          <cell r="G393">
            <v>22914238.82</v>
          </cell>
          <cell r="H393">
            <v>24034839.469999999</v>
          </cell>
          <cell r="I393">
            <v>-8473611.9700000007</v>
          </cell>
        </row>
        <row r="394">
          <cell r="C394">
            <v>24758</v>
          </cell>
          <cell r="E394" t="str">
            <v>MXN</v>
          </cell>
          <cell r="F394">
            <v>-3241630.13</v>
          </cell>
          <cell r="G394">
            <v>3386230.13</v>
          </cell>
          <cell r="H394">
            <v>591760</v>
          </cell>
          <cell r="I394">
            <v>-447160</v>
          </cell>
        </row>
        <row r="395">
          <cell r="C395">
            <v>24773</v>
          </cell>
          <cell r="E395" t="str">
            <v>MXN</v>
          </cell>
          <cell r="F395">
            <v>-6713940.1799999997</v>
          </cell>
          <cell r="G395">
            <v>13651963.949999999</v>
          </cell>
          <cell r="H395">
            <v>7435113.3899999997</v>
          </cell>
          <cell r="I395">
            <v>-497089.62</v>
          </cell>
        </row>
        <row r="396">
          <cell r="C396">
            <v>24786</v>
          </cell>
          <cell r="E396" t="str">
            <v>MXN</v>
          </cell>
          <cell r="F396">
            <v>-97356.74</v>
          </cell>
          <cell r="G396">
            <v>731070.92</v>
          </cell>
          <cell r="H396">
            <v>1223334.6000000001</v>
          </cell>
          <cell r="I396">
            <v>-589620.42000000004</v>
          </cell>
        </row>
        <row r="397">
          <cell r="C397">
            <v>24836</v>
          </cell>
          <cell r="E397" t="str">
            <v>MXN</v>
          </cell>
          <cell r="F397">
            <v>-1408256.78</v>
          </cell>
          <cell r="G397">
            <v>4128578.5</v>
          </cell>
          <cell r="H397">
            <v>5364605.41</v>
          </cell>
          <cell r="I397">
            <v>-2644283.69</v>
          </cell>
        </row>
        <row r="398">
          <cell r="C398">
            <v>24844</v>
          </cell>
          <cell r="E398" t="str">
            <v>MXN</v>
          </cell>
          <cell r="F398">
            <v>-20020542.25</v>
          </cell>
          <cell r="G398">
            <v>26413299.59</v>
          </cell>
          <cell r="H398">
            <v>6393736.8399999999</v>
          </cell>
          <cell r="I398">
            <v>-979.5</v>
          </cell>
        </row>
        <row r="399">
          <cell r="C399">
            <v>24877</v>
          </cell>
          <cell r="E399" t="str">
            <v>MXN</v>
          </cell>
          <cell r="F399">
            <v>-1096549.68</v>
          </cell>
          <cell r="G399">
            <v>3290472.17</v>
          </cell>
          <cell r="H399">
            <v>2993201.29</v>
          </cell>
          <cell r="I399">
            <v>-799278.8</v>
          </cell>
        </row>
        <row r="400">
          <cell r="C400">
            <v>24923</v>
          </cell>
          <cell r="E400" t="str">
            <v>MXN</v>
          </cell>
          <cell r="F400">
            <v>-967102.56</v>
          </cell>
          <cell r="G400">
            <v>5219036.32</v>
          </cell>
          <cell r="H400">
            <v>4997916.22</v>
          </cell>
          <cell r="I400">
            <v>-745982.46</v>
          </cell>
        </row>
        <row r="401">
          <cell r="C401">
            <v>24927</v>
          </cell>
          <cell r="E401" t="str">
            <v>MXN</v>
          </cell>
          <cell r="F401">
            <v>-29638728.91</v>
          </cell>
          <cell r="G401">
            <v>45142336.859999999</v>
          </cell>
          <cell r="H401">
            <v>56410162.25</v>
          </cell>
          <cell r="I401">
            <v>-40906554.299999997</v>
          </cell>
        </row>
        <row r="402">
          <cell r="C402">
            <v>24934</v>
          </cell>
          <cell r="E402" t="str">
            <v>MXN</v>
          </cell>
          <cell r="F402">
            <v>7800</v>
          </cell>
          <cell r="G402">
            <v>27952522.010000002</v>
          </cell>
          <cell r="H402">
            <v>28446408.010000002</v>
          </cell>
          <cell r="I402">
            <v>-486086</v>
          </cell>
        </row>
        <row r="403">
          <cell r="C403">
            <v>25018</v>
          </cell>
          <cell r="E403" t="str">
            <v>MXN</v>
          </cell>
          <cell r="F403">
            <v>-20099689.350000001</v>
          </cell>
          <cell r="G403">
            <v>36816927.310000002</v>
          </cell>
          <cell r="H403">
            <v>33765849.460000001</v>
          </cell>
          <cell r="I403">
            <v>-17048611.5</v>
          </cell>
        </row>
        <row r="404">
          <cell r="C404">
            <v>25025</v>
          </cell>
          <cell r="E404" t="str">
            <v>MXN</v>
          </cell>
          <cell r="F404">
            <v>-112169632.23</v>
          </cell>
          <cell r="G404">
            <v>160094827.12</v>
          </cell>
          <cell r="H404">
            <v>152167158.66</v>
          </cell>
          <cell r="I404">
            <v>-104241963.77</v>
          </cell>
        </row>
        <row r="405">
          <cell r="C405">
            <v>25026</v>
          </cell>
          <cell r="E405" t="str">
            <v>MXN</v>
          </cell>
          <cell r="F405">
            <v>-11284683.1</v>
          </cell>
          <cell r="G405">
            <v>49358324.140000001</v>
          </cell>
          <cell r="H405">
            <v>39859765.560000002</v>
          </cell>
          <cell r="I405">
            <v>-1786124.52</v>
          </cell>
        </row>
        <row r="406">
          <cell r="C406">
            <v>25027</v>
          </cell>
          <cell r="E406" t="str">
            <v>MXN</v>
          </cell>
          <cell r="F406">
            <v>-10205894.539999999</v>
          </cell>
          <cell r="G406">
            <v>31238162.66</v>
          </cell>
          <cell r="H406">
            <v>36150528.159999996</v>
          </cell>
          <cell r="I406">
            <v>-15118260.039999999</v>
          </cell>
        </row>
        <row r="407">
          <cell r="C407">
            <v>25056</v>
          </cell>
          <cell r="E407" t="str">
            <v>MXN</v>
          </cell>
          <cell r="F407">
            <v>-8836302.2100000009</v>
          </cell>
          <cell r="G407">
            <v>28513880.98</v>
          </cell>
          <cell r="H407">
            <v>23538252.600000001</v>
          </cell>
          <cell r="I407">
            <v>-3860673.83</v>
          </cell>
        </row>
        <row r="408">
          <cell r="C408">
            <v>25058</v>
          </cell>
          <cell r="E408" t="str">
            <v>MXN</v>
          </cell>
          <cell r="F408">
            <v>-316412.62</v>
          </cell>
          <cell r="G408">
            <v>725568.45</v>
          </cell>
          <cell r="H408">
            <v>700694.65</v>
          </cell>
          <cell r="I408">
            <v>-291538.82</v>
          </cell>
        </row>
        <row r="409">
          <cell r="C409">
            <v>25068</v>
          </cell>
          <cell r="E409" t="str">
            <v>MXN</v>
          </cell>
          <cell r="F409">
            <v>-2143508.61</v>
          </cell>
          <cell r="G409">
            <v>3531568.62</v>
          </cell>
          <cell r="H409">
            <v>1728103.06</v>
          </cell>
          <cell r="I409">
            <v>-340043.05</v>
          </cell>
        </row>
        <row r="410">
          <cell r="C410">
            <v>25076</v>
          </cell>
          <cell r="E410" t="str">
            <v>MXN</v>
          </cell>
          <cell r="F410">
            <v>18199.099999999999</v>
          </cell>
          <cell r="G410">
            <v>1514473.38</v>
          </cell>
          <cell r="H410">
            <v>10180394.23</v>
          </cell>
          <cell r="I410">
            <v>-8647721.75</v>
          </cell>
        </row>
        <row r="411">
          <cell r="C411">
            <v>25082</v>
          </cell>
          <cell r="E411" t="str">
            <v>MXN</v>
          </cell>
          <cell r="F411">
            <v>-6454472.4100000001</v>
          </cell>
          <cell r="G411">
            <v>13556455.460000001</v>
          </cell>
          <cell r="H411">
            <v>13823407.24</v>
          </cell>
          <cell r="I411">
            <v>-6721424.1900000004</v>
          </cell>
        </row>
        <row r="412">
          <cell r="C412">
            <v>25099</v>
          </cell>
          <cell r="E412" t="str">
            <v>MXN</v>
          </cell>
          <cell r="F412">
            <v>-4881954.76</v>
          </cell>
          <cell r="G412">
            <v>13406888.83</v>
          </cell>
          <cell r="H412">
            <v>9673575.9100000001</v>
          </cell>
          <cell r="I412">
            <v>-1148641.8400000001</v>
          </cell>
        </row>
        <row r="413">
          <cell r="C413">
            <v>25100</v>
          </cell>
          <cell r="E413" t="str">
            <v>MXN</v>
          </cell>
          <cell r="F413">
            <v>-7715249.0700000003</v>
          </cell>
          <cell r="G413">
            <v>11398769.359999999</v>
          </cell>
          <cell r="H413">
            <v>9475468.2599999998</v>
          </cell>
          <cell r="I413">
            <v>-5791947.9699999997</v>
          </cell>
        </row>
        <row r="414">
          <cell r="C414">
            <v>25128</v>
          </cell>
          <cell r="E414" t="str">
            <v>MXN</v>
          </cell>
          <cell r="F414">
            <v>-2706827.76</v>
          </cell>
          <cell r="G414">
            <v>4031352.85</v>
          </cell>
          <cell r="H414">
            <v>3822475.92</v>
          </cell>
          <cell r="I414">
            <v>-2497950.83</v>
          </cell>
        </row>
        <row r="415">
          <cell r="C415">
            <v>25132</v>
          </cell>
          <cell r="E415" t="str">
            <v>MXN</v>
          </cell>
          <cell r="F415">
            <v>-4616911.71</v>
          </cell>
          <cell r="G415">
            <v>29858479.16</v>
          </cell>
          <cell r="H415">
            <v>30904669.940000001</v>
          </cell>
          <cell r="I415">
            <v>-5663102.4900000002</v>
          </cell>
        </row>
        <row r="416">
          <cell r="C416">
            <v>25133</v>
          </cell>
          <cell r="E416" t="str">
            <v>MXN</v>
          </cell>
          <cell r="F416">
            <v>-83193806.180000007</v>
          </cell>
          <cell r="G416">
            <v>165733388.47999999</v>
          </cell>
          <cell r="H416">
            <v>84396409.469999999</v>
          </cell>
          <cell r="I416">
            <v>-1856827.17</v>
          </cell>
        </row>
        <row r="417">
          <cell r="C417">
            <v>25150</v>
          </cell>
          <cell r="E417" t="str">
            <v>MXN</v>
          </cell>
          <cell r="F417">
            <v>-7690294.1100000003</v>
          </cell>
          <cell r="G417">
            <v>17013707.41</v>
          </cell>
          <cell r="H417">
            <v>10094465.91</v>
          </cell>
          <cell r="I417">
            <v>-771052.61</v>
          </cell>
        </row>
        <row r="418">
          <cell r="C418">
            <v>25222</v>
          </cell>
          <cell r="E418" t="str">
            <v>MXN</v>
          </cell>
          <cell r="F418">
            <v>-27227084.690000001</v>
          </cell>
          <cell r="G418">
            <v>131352507.7</v>
          </cell>
          <cell r="H418">
            <v>123734842.73999999</v>
          </cell>
          <cell r="I418">
            <v>-19609419.73</v>
          </cell>
        </row>
        <row r="419">
          <cell r="C419">
            <v>25237</v>
          </cell>
          <cell r="E419" t="str">
            <v>MXN</v>
          </cell>
          <cell r="F419">
            <v>-8933714.4100000001</v>
          </cell>
          <cell r="G419">
            <v>18642652.98</v>
          </cell>
          <cell r="H419">
            <v>11739578.460000001</v>
          </cell>
          <cell r="I419">
            <v>-2030639.89</v>
          </cell>
        </row>
        <row r="420">
          <cell r="C420">
            <v>25269</v>
          </cell>
          <cell r="E420" t="str">
            <v>MXN</v>
          </cell>
          <cell r="F420">
            <v>-36475332.32</v>
          </cell>
          <cell r="G420">
            <v>96595252.140000001</v>
          </cell>
          <cell r="H420">
            <v>72788922.719999999</v>
          </cell>
          <cell r="I420">
            <v>-12669002.9</v>
          </cell>
        </row>
        <row r="421">
          <cell r="C421">
            <v>25275</v>
          </cell>
          <cell r="E421" t="str">
            <v>MXN</v>
          </cell>
          <cell r="F421">
            <v>-7396839.8899999997</v>
          </cell>
          <cell r="G421">
            <v>28225335.390000001</v>
          </cell>
          <cell r="H421">
            <v>21293360.5</v>
          </cell>
          <cell r="I421">
            <v>-464865</v>
          </cell>
        </row>
        <row r="422">
          <cell r="C422">
            <v>25461</v>
          </cell>
          <cell r="E422" t="str">
            <v>MXN</v>
          </cell>
          <cell r="F422">
            <v>-17885129.010000002</v>
          </cell>
          <cell r="G422">
            <v>40935649.670000002</v>
          </cell>
          <cell r="H422">
            <v>44228714.200000003</v>
          </cell>
          <cell r="I422">
            <v>-21178193.539999999</v>
          </cell>
        </row>
        <row r="423">
          <cell r="C423">
            <v>25469</v>
          </cell>
          <cell r="E423" t="str">
            <v>MXN</v>
          </cell>
          <cell r="F423">
            <v>-7886232.7400000002</v>
          </cell>
          <cell r="G423">
            <v>49152413.049999997</v>
          </cell>
          <cell r="H423">
            <v>43443833.719999999</v>
          </cell>
          <cell r="I423">
            <v>-2177653.41</v>
          </cell>
        </row>
        <row r="424">
          <cell r="C424">
            <v>25528</v>
          </cell>
          <cell r="E424" t="str">
            <v>MXN</v>
          </cell>
          <cell r="F424">
            <v>-2019423.28</v>
          </cell>
          <cell r="G424">
            <v>6716412.0199999996</v>
          </cell>
          <cell r="H424">
            <v>6516047.8099999996</v>
          </cell>
          <cell r="I424">
            <v>-1819059.07</v>
          </cell>
        </row>
        <row r="425">
          <cell r="C425">
            <v>25957</v>
          </cell>
          <cell r="E425" t="str">
            <v>MXN</v>
          </cell>
          <cell r="F425">
            <v>-6412632.4800000004</v>
          </cell>
          <cell r="G425">
            <v>18715802.57</v>
          </cell>
          <cell r="H425">
            <v>14453278.08</v>
          </cell>
          <cell r="I425">
            <v>-2150107.9900000002</v>
          </cell>
        </row>
        <row r="426">
          <cell r="C426">
            <v>26138</v>
          </cell>
          <cell r="E426" t="str">
            <v>MXN</v>
          </cell>
          <cell r="F426">
            <v>-35113921.280000001</v>
          </cell>
          <cell r="G426">
            <v>70441850.959999993</v>
          </cell>
          <cell r="H426">
            <v>95967752.540000007</v>
          </cell>
          <cell r="I426">
            <v>-60639822.859999999</v>
          </cell>
        </row>
        <row r="427">
          <cell r="C427">
            <v>26393</v>
          </cell>
          <cell r="E427" t="str">
            <v>MXN</v>
          </cell>
          <cell r="F427">
            <v>-9943446.8900000006</v>
          </cell>
          <cell r="G427">
            <v>13484677.050000001</v>
          </cell>
          <cell r="H427">
            <v>9908914.2400000002</v>
          </cell>
          <cell r="I427">
            <v>-6367684.0800000001</v>
          </cell>
        </row>
        <row r="428">
          <cell r="C428">
            <v>26831</v>
          </cell>
          <cell r="E428" t="str">
            <v>MXN</v>
          </cell>
          <cell r="F428">
            <v>-20918423.100000001</v>
          </cell>
          <cell r="G428">
            <v>63234892.539999999</v>
          </cell>
          <cell r="H428">
            <v>49125039.399999999</v>
          </cell>
          <cell r="I428">
            <v>-6808569.96</v>
          </cell>
        </row>
        <row r="429">
          <cell r="C429">
            <v>27011</v>
          </cell>
          <cell r="E429" t="str">
            <v>MXN</v>
          </cell>
          <cell r="F429">
            <v>-4424112.45</v>
          </cell>
          <cell r="G429">
            <v>19007630.52</v>
          </cell>
          <cell r="H429">
            <v>16128692.720000001</v>
          </cell>
          <cell r="I429">
            <v>-1545174.65</v>
          </cell>
        </row>
        <row r="430">
          <cell r="C430">
            <v>28076</v>
          </cell>
          <cell r="E430" t="str">
            <v>MXN</v>
          </cell>
          <cell r="F430">
            <v>-82330681.670000002</v>
          </cell>
          <cell r="G430">
            <v>99913735.599999994</v>
          </cell>
          <cell r="H430">
            <v>87008282.879999995</v>
          </cell>
          <cell r="I430">
            <v>-69425228.950000003</v>
          </cell>
        </row>
        <row r="431">
          <cell r="C431">
            <v>28209</v>
          </cell>
          <cell r="E431" t="str">
            <v>MXN</v>
          </cell>
          <cell r="F431">
            <v>-4981663.88</v>
          </cell>
          <cell r="G431">
            <v>10657436.17</v>
          </cell>
          <cell r="H431">
            <v>6444008.7300000004</v>
          </cell>
          <cell r="I431">
            <v>-768236.44</v>
          </cell>
        </row>
        <row r="432">
          <cell r="C432">
            <v>28241</v>
          </cell>
          <cell r="E432" t="str">
            <v>MXN</v>
          </cell>
          <cell r="F432">
            <v>-11501305.539999999</v>
          </cell>
          <cell r="G432">
            <v>33739976.729999997</v>
          </cell>
          <cell r="H432">
            <v>34965796.100000001</v>
          </cell>
          <cell r="I432">
            <v>-12727124.91</v>
          </cell>
        </row>
        <row r="433">
          <cell r="C433">
            <v>28407</v>
          </cell>
          <cell r="E433" t="str">
            <v>MXN</v>
          </cell>
          <cell r="F433">
            <v>-690987.96</v>
          </cell>
          <cell r="G433">
            <v>952671.8</v>
          </cell>
          <cell r="H433">
            <v>304342.21999999997</v>
          </cell>
          <cell r="I433">
            <v>-42658.38</v>
          </cell>
        </row>
        <row r="434">
          <cell r="C434">
            <v>28639</v>
          </cell>
          <cell r="E434" t="str">
            <v>MXN</v>
          </cell>
          <cell r="F434">
            <v>-29480312.82</v>
          </cell>
          <cell r="G434">
            <v>85549533.939999998</v>
          </cell>
          <cell r="H434">
            <v>81851745.670000002</v>
          </cell>
          <cell r="I434">
            <v>-25782524.550000001</v>
          </cell>
        </row>
        <row r="435">
          <cell r="C435">
            <v>28688</v>
          </cell>
          <cell r="E435" t="str">
            <v>MXN</v>
          </cell>
          <cell r="F435">
            <v>-3074649.89</v>
          </cell>
          <cell r="G435">
            <v>18816280.25</v>
          </cell>
          <cell r="H435">
            <v>16658748.49</v>
          </cell>
          <cell r="I435">
            <v>-917118.13</v>
          </cell>
        </row>
        <row r="436">
          <cell r="C436">
            <v>28779</v>
          </cell>
          <cell r="E436" t="str">
            <v>MXN</v>
          </cell>
          <cell r="F436">
            <v>-2118545.14</v>
          </cell>
          <cell r="G436">
            <v>2206764.2599999998</v>
          </cell>
          <cell r="H436">
            <v>1223687.33</v>
          </cell>
          <cell r="I436">
            <v>-1135468.21</v>
          </cell>
        </row>
        <row r="437">
          <cell r="C437">
            <v>28811</v>
          </cell>
          <cell r="E437" t="str">
            <v>MXN</v>
          </cell>
          <cell r="F437">
            <v>-15925749.17</v>
          </cell>
          <cell r="G437">
            <v>23513696.030000001</v>
          </cell>
          <cell r="H437">
            <v>26316365.77</v>
          </cell>
          <cell r="I437">
            <v>-18728418.91</v>
          </cell>
        </row>
        <row r="438">
          <cell r="C438">
            <v>29272</v>
          </cell>
          <cell r="E438" t="str">
            <v>MXN</v>
          </cell>
          <cell r="F438">
            <v>-60862474.590000004</v>
          </cell>
          <cell r="G438">
            <v>155042261.69</v>
          </cell>
          <cell r="H438">
            <v>165930132.50999999</v>
          </cell>
          <cell r="I438">
            <v>-71750345.409999996</v>
          </cell>
        </row>
        <row r="439">
          <cell r="C439">
            <v>29538</v>
          </cell>
          <cell r="E439" t="str">
            <v>MXN</v>
          </cell>
          <cell r="F439">
            <v>-2294450.0299999998</v>
          </cell>
          <cell r="G439">
            <v>5923453.75</v>
          </cell>
          <cell r="H439">
            <v>5394028.4900000002</v>
          </cell>
          <cell r="I439">
            <v>-1765024.77</v>
          </cell>
        </row>
        <row r="440">
          <cell r="C440">
            <v>30064</v>
          </cell>
          <cell r="E440" t="str">
            <v>MXN</v>
          </cell>
          <cell r="F440">
            <v>-123772017.56999999</v>
          </cell>
          <cell r="G440">
            <v>156090478.56</v>
          </cell>
          <cell r="H440">
            <v>50345331.159999996</v>
          </cell>
          <cell r="I440">
            <v>-18026870.170000002</v>
          </cell>
        </row>
        <row r="441">
          <cell r="C441">
            <v>30494</v>
          </cell>
          <cell r="E441" t="str">
            <v>MXN</v>
          </cell>
          <cell r="F441">
            <v>-2995376.31</v>
          </cell>
          <cell r="G441">
            <v>5317857.1900000004</v>
          </cell>
          <cell r="H441">
            <v>3588596.59</v>
          </cell>
          <cell r="I441">
            <v>-1266115.71</v>
          </cell>
        </row>
        <row r="442">
          <cell r="C442">
            <v>30858</v>
          </cell>
          <cell r="E442" t="str">
            <v>MXN</v>
          </cell>
          <cell r="F442">
            <v>-44849030.82</v>
          </cell>
          <cell r="G442">
            <v>65081747.130000003</v>
          </cell>
          <cell r="H442">
            <v>60229260.789999999</v>
          </cell>
          <cell r="I442">
            <v>-39996544.479999997</v>
          </cell>
        </row>
        <row r="443">
          <cell r="C443">
            <v>32169</v>
          </cell>
          <cell r="E443" t="str">
            <v>MXN</v>
          </cell>
          <cell r="F443">
            <v>-7149996.3399999999</v>
          </cell>
          <cell r="G443">
            <v>9016140.1500000004</v>
          </cell>
          <cell r="H443">
            <v>8277756.1399999997</v>
          </cell>
          <cell r="I443">
            <v>-6411612.3300000001</v>
          </cell>
        </row>
        <row r="444">
          <cell r="C444">
            <v>32821</v>
          </cell>
          <cell r="E444" t="str">
            <v>MXN</v>
          </cell>
          <cell r="F444">
            <v>-5552852.5599999996</v>
          </cell>
          <cell r="G444">
            <v>11575244.32</v>
          </cell>
          <cell r="H444">
            <v>6835718.0999999996</v>
          </cell>
          <cell r="I444">
            <v>-813326.34</v>
          </cell>
        </row>
        <row r="445">
          <cell r="C445">
            <v>32953</v>
          </cell>
          <cell r="E445" t="str">
            <v>MXN</v>
          </cell>
          <cell r="F445">
            <v>-9607123.1500000004</v>
          </cell>
          <cell r="G445">
            <v>20819122.170000002</v>
          </cell>
          <cell r="H445">
            <v>22647058.34</v>
          </cell>
          <cell r="I445">
            <v>-11435059.32</v>
          </cell>
        </row>
        <row r="446">
          <cell r="C446">
            <v>32961</v>
          </cell>
          <cell r="E446" t="str">
            <v>MXN</v>
          </cell>
          <cell r="F446">
            <v>-2873000.81</v>
          </cell>
          <cell r="G446">
            <v>3903753.84</v>
          </cell>
          <cell r="H446">
            <v>3783125.17</v>
          </cell>
          <cell r="I446">
            <v>-2752372.14</v>
          </cell>
        </row>
        <row r="447">
          <cell r="C447">
            <v>33241</v>
          </cell>
          <cell r="E447" t="str">
            <v>MXN</v>
          </cell>
          <cell r="F447">
            <v>-7024284.9400000004</v>
          </cell>
          <cell r="G447">
            <v>10623883.130000001</v>
          </cell>
          <cell r="H447">
            <v>7667333.9500000002</v>
          </cell>
          <cell r="I447">
            <v>-4067735.76</v>
          </cell>
        </row>
        <row r="448">
          <cell r="C448">
            <v>33464</v>
          </cell>
          <cell r="E448" t="str">
            <v>MXN</v>
          </cell>
          <cell r="F448">
            <v>-6869237.6900000004</v>
          </cell>
          <cell r="G448">
            <v>12444444.24</v>
          </cell>
          <cell r="H448">
            <v>10322376.119999999</v>
          </cell>
          <cell r="I448">
            <v>-4747169.57</v>
          </cell>
        </row>
        <row r="449">
          <cell r="C449">
            <v>33571</v>
          </cell>
          <cell r="E449" t="str">
            <v>MXN</v>
          </cell>
          <cell r="F449">
            <v>-6494628.1299999999</v>
          </cell>
          <cell r="G449">
            <v>22597866.16</v>
          </cell>
          <cell r="H449">
            <v>22296315.469999999</v>
          </cell>
          <cell r="I449">
            <v>-6193077.4400000004</v>
          </cell>
        </row>
        <row r="450">
          <cell r="C450">
            <v>34140</v>
          </cell>
          <cell r="E450" t="str">
            <v>MXN</v>
          </cell>
          <cell r="F450">
            <v>-16636522.5</v>
          </cell>
          <cell r="G450">
            <v>31090163.559999999</v>
          </cell>
          <cell r="H450">
            <v>21474303.66</v>
          </cell>
          <cell r="I450">
            <v>-7020662.5999999996</v>
          </cell>
        </row>
        <row r="451">
          <cell r="C451">
            <v>34280</v>
          </cell>
          <cell r="E451" t="str">
            <v>MXN</v>
          </cell>
          <cell r="F451">
            <v>-10054345.08</v>
          </cell>
          <cell r="G451">
            <v>10293505.74</v>
          </cell>
          <cell r="H451">
            <v>445069.78</v>
          </cell>
          <cell r="I451">
            <v>-205909.12</v>
          </cell>
        </row>
        <row r="452">
          <cell r="C452">
            <v>34306</v>
          </cell>
          <cell r="E452" t="str">
            <v>MXN</v>
          </cell>
          <cell r="F452">
            <v>-111402389.94</v>
          </cell>
          <cell r="G452">
            <v>301133303.08999997</v>
          </cell>
          <cell r="H452">
            <v>222753565.72999999</v>
          </cell>
          <cell r="I452">
            <v>-33022652.579999998</v>
          </cell>
        </row>
        <row r="453">
          <cell r="C453">
            <v>34801</v>
          </cell>
          <cell r="E453" t="str">
            <v>MXN</v>
          </cell>
          <cell r="F453">
            <v>-19250970.030000001</v>
          </cell>
          <cell r="G453">
            <v>38426050.93</v>
          </cell>
          <cell r="H453">
            <v>42777319.869999997</v>
          </cell>
          <cell r="I453">
            <v>-23602238.969999999</v>
          </cell>
        </row>
        <row r="454">
          <cell r="C454">
            <v>34934</v>
          </cell>
          <cell r="E454" t="str">
            <v>MXN</v>
          </cell>
          <cell r="F454">
            <v>-26677482.850000001</v>
          </cell>
          <cell r="G454">
            <v>46510203.039999999</v>
          </cell>
          <cell r="H454">
            <v>16630602.880000001</v>
          </cell>
          <cell r="I454">
            <v>3202117.31</v>
          </cell>
        </row>
        <row r="455">
          <cell r="C455">
            <v>35436</v>
          </cell>
          <cell r="E455" t="str">
            <v>MXN</v>
          </cell>
          <cell r="F455">
            <v>-16708399.51</v>
          </cell>
          <cell r="G455">
            <v>52078847.380000003</v>
          </cell>
          <cell r="H455">
            <v>45127897.399999999</v>
          </cell>
          <cell r="I455">
            <v>-9757449.5299999993</v>
          </cell>
        </row>
        <row r="456">
          <cell r="C456">
            <v>35519</v>
          </cell>
          <cell r="E456" t="str">
            <v>MXN</v>
          </cell>
          <cell r="F456">
            <v>-2058979.12</v>
          </cell>
          <cell r="G456">
            <v>6447517.2999999998</v>
          </cell>
          <cell r="H456">
            <v>5623239.1100000003</v>
          </cell>
          <cell r="I456">
            <v>-1234700.93</v>
          </cell>
        </row>
        <row r="457">
          <cell r="C457">
            <v>35550</v>
          </cell>
          <cell r="E457" t="str">
            <v>MXN</v>
          </cell>
          <cell r="F457">
            <v>-5227153.09</v>
          </cell>
          <cell r="G457">
            <v>37798852.810000002</v>
          </cell>
          <cell r="H457">
            <v>33994532.060000002</v>
          </cell>
          <cell r="I457">
            <v>-1422832.34</v>
          </cell>
        </row>
        <row r="458">
          <cell r="C458">
            <v>35576</v>
          </cell>
          <cell r="E458" t="str">
            <v>MXN</v>
          </cell>
          <cell r="F458">
            <v>-1265911.96</v>
          </cell>
          <cell r="G458">
            <v>2441265.6800000002</v>
          </cell>
          <cell r="H458">
            <v>2438075.69</v>
          </cell>
          <cell r="I458">
            <v>-1262721.97</v>
          </cell>
        </row>
        <row r="459">
          <cell r="C459">
            <v>36137</v>
          </cell>
          <cell r="E459" t="str">
            <v>MXN</v>
          </cell>
          <cell r="F459">
            <v>-4593671.63</v>
          </cell>
          <cell r="G459">
            <v>9427089.4700000007</v>
          </cell>
          <cell r="H459">
            <v>4778952.66</v>
          </cell>
          <cell r="I459">
            <v>54465.18</v>
          </cell>
        </row>
        <row r="460">
          <cell r="C460">
            <v>36145</v>
          </cell>
          <cell r="E460" t="str">
            <v>MXN</v>
          </cell>
          <cell r="F460">
            <v>-24358633.350000001</v>
          </cell>
          <cell r="G460">
            <v>103884941.88</v>
          </cell>
          <cell r="H460">
            <v>173384091.25999999</v>
          </cell>
          <cell r="I460">
            <v>-93857782.730000004</v>
          </cell>
        </row>
        <row r="461">
          <cell r="C461">
            <v>36152</v>
          </cell>
          <cell r="E461" t="str">
            <v>MXN</v>
          </cell>
          <cell r="F461">
            <v>-65413708.840000004</v>
          </cell>
          <cell r="G461">
            <v>167059575.99000001</v>
          </cell>
          <cell r="H461">
            <v>209669508.78999999</v>
          </cell>
          <cell r="I461">
            <v>-108023641.64</v>
          </cell>
        </row>
        <row r="462">
          <cell r="C462">
            <v>36202</v>
          </cell>
          <cell r="E462" t="str">
            <v>MXN</v>
          </cell>
          <cell r="F462">
            <v>-717942.51</v>
          </cell>
          <cell r="G462">
            <v>4136253.76</v>
          </cell>
          <cell r="H462">
            <v>4660294.3099999996</v>
          </cell>
          <cell r="I462">
            <v>-1241983.06</v>
          </cell>
        </row>
        <row r="463">
          <cell r="C463">
            <v>37481</v>
          </cell>
          <cell r="E463" t="str">
            <v>MXN</v>
          </cell>
          <cell r="F463">
            <v>-5906283.6900000004</v>
          </cell>
          <cell r="G463">
            <v>22876532.309999999</v>
          </cell>
          <cell r="H463">
            <v>33562655.700000003</v>
          </cell>
          <cell r="I463">
            <v>-16592407.08</v>
          </cell>
        </row>
        <row r="464">
          <cell r="C464">
            <v>38083</v>
          </cell>
          <cell r="E464" t="str">
            <v>MXN</v>
          </cell>
          <cell r="F464">
            <v>-18424350.390000001</v>
          </cell>
          <cell r="G464">
            <v>56477114.43</v>
          </cell>
          <cell r="H464">
            <v>51398047.649999999</v>
          </cell>
          <cell r="I464">
            <v>-13345283.609999999</v>
          </cell>
        </row>
        <row r="465">
          <cell r="C465">
            <v>38232</v>
          </cell>
          <cell r="E465" t="str">
            <v>MXN</v>
          </cell>
          <cell r="F465">
            <v>-1854542.34</v>
          </cell>
          <cell r="G465">
            <v>7072259.7599999998</v>
          </cell>
          <cell r="H465">
            <v>5771119.1699999999</v>
          </cell>
          <cell r="I465">
            <v>-553401.75</v>
          </cell>
        </row>
        <row r="466">
          <cell r="C466">
            <v>38331</v>
          </cell>
          <cell r="E466" t="str">
            <v>MXN</v>
          </cell>
          <cell r="F466">
            <v>-176942.7</v>
          </cell>
          <cell r="G466">
            <v>4496947.97</v>
          </cell>
          <cell r="H466">
            <v>6271000.04</v>
          </cell>
          <cell r="I466">
            <v>-1950994.77</v>
          </cell>
        </row>
        <row r="467">
          <cell r="C467">
            <v>38885</v>
          </cell>
          <cell r="E467" t="str">
            <v>MXN</v>
          </cell>
          <cell r="F467">
            <v>-26193652.34</v>
          </cell>
          <cell r="G467">
            <v>36647645.039999999</v>
          </cell>
          <cell r="H467">
            <v>39909664.640000001</v>
          </cell>
          <cell r="I467">
            <v>-29455671.940000001</v>
          </cell>
        </row>
        <row r="468">
          <cell r="C468">
            <v>38893</v>
          </cell>
          <cell r="E468" t="str">
            <v>MXN</v>
          </cell>
          <cell r="F468">
            <v>-45791360.090000004</v>
          </cell>
          <cell r="G468">
            <v>119638134.37</v>
          </cell>
          <cell r="H468">
            <v>168503808.61000001</v>
          </cell>
          <cell r="I468">
            <v>-94657034.329999998</v>
          </cell>
        </row>
        <row r="469">
          <cell r="C469">
            <v>39057</v>
          </cell>
          <cell r="E469" t="str">
            <v>MXN</v>
          </cell>
          <cell r="F469">
            <v>-52570664.420000002</v>
          </cell>
          <cell r="G469">
            <v>56643393.049999997</v>
          </cell>
          <cell r="H469">
            <v>14527482.27</v>
          </cell>
          <cell r="I469">
            <v>-10454753.640000001</v>
          </cell>
        </row>
        <row r="470">
          <cell r="C470">
            <v>39974</v>
          </cell>
          <cell r="E470" t="str">
            <v>MXN</v>
          </cell>
          <cell r="F470">
            <v>-74532845.060000002</v>
          </cell>
          <cell r="G470">
            <v>74851978.439999998</v>
          </cell>
          <cell r="H470">
            <v>6636482.8300000001</v>
          </cell>
          <cell r="I470">
            <v>-6317349.4500000002</v>
          </cell>
        </row>
        <row r="471">
          <cell r="C471">
            <v>40022</v>
          </cell>
          <cell r="E471" t="str">
            <v>MXN</v>
          </cell>
          <cell r="F471">
            <v>-529064327.26999998</v>
          </cell>
          <cell r="G471">
            <v>1980204646.75</v>
          </cell>
          <cell r="H471">
            <v>2374448306.29</v>
          </cell>
          <cell r="I471">
            <v>-923307986.80999994</v>
          </cell>
        </row>
        <row r="472">
          <cell r="C472">
            <v>40055</v>
          </cell>
          <cell r="E472" t="str">
            <v>MXN</v>
          </cell>
          <cell r="F472">
            <v>-77530149.430000007</v>
          </cell>
          <cell r="G472">
            <v>406397685.48000002</v>
          </cell>
          <cell r="H472">
            <v>537883542.52999997</v>
          </cell>
          <cell r="I472">
            <v>-209016006.47999999</v>
          </cell>
        </row>
        <row r="473">
          <cell r="C473">
            <v>40089</v>
          </cell>
          <cell r="E473" t="str">
            <v>MXN</v>
          </cell>
          <cell r="F473">
            <v>-1108006.82</v>
          </cell>
          <cell r="G473">
            <v>1484440.8</v>
          </cell>
          <cell r="H473">
            <v>2782042.8</v>
          </cell>
          <cell r="I473">
            <v>-2405608.8199999998</v>
          </cell>
        </row>
        <row r="474">
          <cell r="C474">
            <v>40279</v>
          </cell>
          <cell r="E474" t="str">
            <v>MXN</v>
          </cell>
          <cell r="F474">
            <v>-3952541.03</v>
          </cell>
          <cell r="G474">
            <v>8272290.3799999999</v>
          </cell>
          <cell r="H474">
            <v>8210987.6500000004</v>
          </cell>
          <cell r="I474">
            <v>-3891238.3</v>
          </cell>
        </row>
        <row r="475">
          <cell r="C475">
            <v>40477</v>
          </cell>
          <cell r="E475" t="str">
            <v>MXN</v>
          </cell>
          <cell r="F475">
            <v>-2660130.04</v>
          </cell>
          <cell r="G475">
            <v>6757986.8899999997</v>
          </cell>
          <cell r="H475">
            <v>6812686.4500000002</v>
          </cell>
          <cell r="I475">
            <v>-2714829.6</v>
          </cell>
        </row>
        <row r="476">
          <cell r="C476">
            <v>40949</v>
          </cell>
          <cell r="E476" t="str">
            <v>MXN</v>
          </cell>
          <cell r="F476">
            <v>-4642817</v>
          </cell>
          <cell r="G476">
            <v>16082503.57</v>
          </cell>
          <cell r="H476">
            <v>13625647.18</v>
          </cell>
          <cell r="I476">
            <v>-2185960.61</v>
          </cell>
        </row>
        <row r="477">
          <cell r="C477">
            <v>40972</v>
          </cell>
          <cell r="E477" t="str">
            <v>MXN</v>
          </cell>
          <cell r="F477">
            <v>-8810535.3599999994</v>
          </cell>
          <cell r="G477">
            <v>8903335.4000000004</v>
          </cell>
          <cell r="H477">
            <v>921963.96</v>
          </cell>
          <cell r="I477">
            <v>-829163.92</v>
          </cell>
        </row>
        <row r="478">
          <cell r="C478">
            <v>41988</v>
          </cell>
          <cell r="E478" t="str">
            <v>MXN</v>
          </cell>
          <cell r="F478">
            <v>-3391554.06</v>
          </cell>
          <cell r="G478">
            <v>5791929.21</v>
          </cell>
          <cell r="H478">
            <v>4331934.42</v>
          </cell>
          <cell r="I478">
            <v>-1931559.27</v>
          </cell>
        </row>
        <row r="479">
          <cell r="C479">
            <v>43372</v>
          </cell>
          <cell r="E479" t="str">
            <v>MXN</v>
          </cell>
          <cell r="F479">
            <v>-32851264.449999999</v>
          </cell>
          <cell r="G479">
            <v>188468589.15000001</v>
          </cell>
          <cell r="H479">
            <v>238291890.12</v>
          </cell>
          <cell r="I479">
            <v>-82674565.420000002</v>
          </cell>
        </row>
        <row r="480">
          <cell r="C480">
            <v>43398</v>
          </cell>
          <cell r="E480" t="str">
            <v>MXN</v>
          </cell>
          <cell r="F480">
            <v>-214445.4</v>
          </cell>
          <cell r="G480">
            <v>244670.21</v>
          </cell>
          <cell r="H480">
            <v>1014246</v>
          </cell>
          <cell r="I480">
            <v>-984021.19</v>
          </cell>
        </row>
        <row r="481">
          <cell r="C481">
            <v>43463</v>
          </cell>
          <cell r="E481" t="str">
            <v>MXN</v>
          </cell>
          <cell r="F481">
            <v>-15218212.800000001</v>
          </cell>
          <cell r="G481">
            <v>30663046.190000001</v>
          </cell>
          <cell r="H481">
            <v>28341415.780000001</v>
          </cell>
          <cell r="I481">
            <v>-12896582.390000001</v>
          </cell>
        </row>
        <row r="482">
          <cell r="C482">
            <v>43836</v>
          </cell>
          <cell r="E482" t="str">
            <v>MXN</v>
          </cell>
          <cell r="F482">
            <v>-27796140.5</v>
          </cell>
          <cell r="G482">
            <v>76646135.280000001</v>
          </cell>
          <cell r="H482">
            <v>72708735.909999996</v>
          </cell>
          <cell r="I482">
            <v>-23858741.129999999</v>
          </cell>
        </row>
        <row r="483">
          <cell r="C483">
            <v>44040</v>
          </cell>
          <cell r="E483" t="str">
            <v>MXN</v>
          </cell>
          <cell r="F483">
            <v>-52404380.310000002</v>
          </cell>
          <cell r="G483">
            <v>74417075.819999993</v>
          </cell>
          <cell r="H483">
            <v>80198924.540000007</v>
          </cell>
          <cell r="I483">
            <v>-58186229.030000001</v>
          </cell>
        </row>
        <row r="484">
          <cell r="C484">
            <v>44172</v>
          </cell>
          <cell r="E484" t="str">
            <v>MXN</v>
          </cell>
          <cell r="F484">
            <v>-17939854.989999998</v>
          </cell>
          <cell r="G484">
            <v>46286034.619999997</v>
          </cell>
          <cell r="H484">
            <v>71593481.530000001</v>
          </cell>
          <cell r="I484">
            <v>-43247301.899999999</v>
          </cell>
        </row>
        <row r="485">
          <cell r="C485">
            <v>44412</v>
          </cell>
          <cell r="E485" t="str">
            <v>MXN</v>
          </cell>
          <cell r="F485">
            <v>-2227809.67</v>
          </cell>
          <cell r="G485">
            <v>4154309.69</v>
          </cell>
          <cell r="H485">
            <v>7337156.8499999996</v>
          </cell>
          <cell r="I485">
            <v>-5410656.8300000001</v>
          </cell>
        </row>
        <row r="486">
          <cell r="C486">
            <v>44586</v>
          </cell>
          <cell r="E486" t="str">
            <v>MXN</v>
          </cell>
          <cell r="F486">
            <v>-187234.51</v>
          </cell>
          <cell r="G486">
            <v>1396313.58</v>
          </cell>
          <cell r="H486">
            <v>1404187.18</v>
          </cell>
          <cell r="I486">
            <v>-195108.11</v>
          </cell>
        </row>
        <row r="487">
          <cell r="C487">
            <v>44768</v>
          </cell>
          <cell r="E487" t="str">
            <v>MXN</v>
          </cell>
          <cell r="F487">
            <v>-2827344.07</v>
          </cell>
          <cell r="G487">
            <v>5811678.75</v>
          </cell>
          <cell r="H487">
            <v>3971615.94</v>
          </cell>
          <cell r="I487">
            <v>-987281.26</v>
          </cell>
        </row>
        <row r="488">
          <cell r="C488">
            <v>44883</v>
          </cell>
          <cell r="E488" t="str">
            <v>MXN</v>
          </cell>
          <cell r="F488">
            <v>-122358393.53</v>
          </cell>
          <cell r="G488">
            <v>166754924.62</v>
          </cell>
          <cell r="H488">
            <v>119751834.45999999</v>
          </cell>
          <cell r="I488">
            <v>-75355303.370000005</v>
          </cell>
        </row>
        <row r="489">
          <cell r="C489">
            <v>45401</v>
          </cell>
          <cell r="E489" t="str">
            <v>MXN</v>
          </cell>
          <cell r="F489">
            <v>-12682863.550000001</v>
          </cell>
          <cell r="G489">
            <v>37736953.060000002</v>
          </cell>
          <cell r="H489">
            <v>32982797.550000001</v>
          </cell>
          <cell r="I489">
            <v>-7928708.04</v>
          </cell>
        </row>
        <row r="490">
          <cell r="C490">
            <v>46524</v>
          </cell>
          <cell r="E490" t="str">
            <v>MXN</v>
          </cell>
          <cell r="F490">
            <v>-627070.04</v>
          </cell>
          <cell r="G490">
            <v>1866273.73</v>
          </cell>
          <cell r="H490">
            <v>2388573.04</v>
          </cell>
          <cell r="I490">
            <v>-1149369.3500000001</v>
          </cell>
        </row>
        <row r="491">
          <cell r="C491">
            <v>46821</v>
          </cell>
          <cell r="E491" t="str">
            <v>MXN</v>
          </cell>
          <cell r="F491">
            <v>-39230433.409999996</v>
          </cell>
          <cell r="G491">
            <v>111032379.63</v>
          </cell>
          <cell r="H491">
            <v>132154830.31</v>
          </cell>
          <cell r="I491">
            <v>-60352884.090000004</v>
          </cell>
        </row>
        <row r="492">
          <cell r="C492">
            <v>47613</v>
          </cell>
          <cell r="E492" t="str">
            <v>MXN</v>
          </cell>
          <cell r="F492">
            <v>-27004623.41</v>
          </cell>
          <cell r="G492">
            <v>105525922.84</v>
          </cell>
          <cell r="H492">
            <v>83768769.069999993</v>
          </cell>
          <cell r="I492">
            <v>-5247469.6399999997</v>
          </cell>
        </row>
        <row r="493">
          <cell r="C493">
            <v>48298</v>
          </cell>
          <cell r="E493" t="str">
            <v>MXN</v>
          </cell>
          <cell r="F493">
            <v>-6801380.2999999998</v>
          </cell>
          <cell r="G493">
            <v>21315485.18</v>
          </cell>
          <cell r="H493">
            <v>17878546.190000001</v>
          </cell>
          <cell r="I493">
            <v>-3364441.31</v>
          </cell>
        </row>
        <row r="494">
          <cell r="C494">
            <v>48660</v>
          </cell>
          <cell r="E494" t="str">
            <v>MXN</v>
          </cell>
          <cell r="F494">
            <v>-5585259.3700000001</v>
          </cell>
          <cell r="G494">
            <v>21124767.649999999</v>
          </cell>
          <cell r="H494">
            <v>21842082.52</v>
          </cell>
          <cell r="I494">
            <v>-6302574.2400000002</v>
          </cell>
        </row>
        <row r="495">
          <cell r="C495">
            <v>49064</v>
          </cell>
          <cell r="E495" t="str">
            <v>MXN</v>
          </cell>
          <cell r="F495">
            <v>-15566365.220000001</v>
          </cell>
          <cell r="G495">
            <v>18465738.350000001</v>
          </cell>
          <cell r="H495">
            <v>17871609.32</v>
          </cell>
          <cell r="I495">
            <v>-14972236.189999999</v>
          </cell>
        </row>
        <row r="496">
          <cell r="C496">
            <v>49569</v>
          </cell>
          <cell r="E496" t="str">
            <v>MXN</v>
          </cell>
          <cell r="F496">
            <v>-1021151.45</v>
          </cell>
          <cell r="G496">
            <v>2669936.9700000002</v>
          </cell>
          <cell r="H496">
            <v>1899043.44</v>
          </cell>
          <cell r="I496">
            <v>-250257.92000000001</v>
          </cell>
        </row>
        <row r="497">
          <cell r="C497">
            <v>49601</v>
          </cell>
          <cell r="E497" t="str">
            <v>MXN</v>
          </cell>
          <cell r="F497">
            <v>-5284715.03</v>
          </cell>
          <cell r="G497">
            <v>8640027.5</v>
          </cell>
          <cell r="H497">
            <v>8857754.5099999998</v>
          </cell>
          <cell r="I497">
            <v>-5502442.04</v>
          </cell>
        </row>
        <row r="498">
          <cell r="C498">
            <v>49692</v>
          </cell>
          <cell r="E498" t="str">
            <v>MXN</v>
          </cell>
          <cell r="F498">
            <v>-2778338.84</v>
          </cell>
          <cell r="G498">
            <v>7281469.9199999999</v>
          </cell>
          <cell r="H498">
            <v>8390307.9100000001</v>
          </cell>
          <cell r="I498">
            <v>-3887176.83</v>
          </cell>
        </row>
        <row r="499">
          <cell r="C499">
            <v>49775</v>
          </cell>
          <cell r="E499" t="str">
            <v>MXN</v>
          </cell>
          <cell r="F499">
            <v>-17909755.52</v>
          </cell>
          <cell r="G499">
            <v>28109337.640000001</v>
          </cell>
          <cell r="H499">
            <v>15303161.279999999</v>
          </cell>
          <cell r="I499">
            <v>-5103579.16</v>
          </cell>
        </row>
        <row r="500">
          <cell r="C500">
            <v>49890</v>
          </cell>
          <cell r="E500" t="str">
            <v>MXN</v>
          </cell>
          <cell r="F500">
            <v>-10062589.800000001</v>
          </cell>
          <cell r="G500">
            <v>17712794</v>
          </cell>
          <cell r="H500">
            <v>21310221.18</v>
          </cell>
          <cell r="I500">
            <v>-13660016.98</v>
          </cell>
        </row>
        <row r="501">
          <cell r="C501">
            <v>50153</v>
          </cell>
          <cell r="E501" t="str">
            <v>MXN</v>
          </cell>
          <cell r="F501">
            <v>-13695918.539999999</v>
          </cell>
          <cell r="G501">
            <v>36278770.399999999</v>
          </cell>
          <cell r="H501">
            <v>31957397.050000001</v>
          </cell>
          <cell r="I501">
            <v>-9374545.1899999995</v>
          </cell>
        </row>
        <row r="502">
          <cell r="C502">
            <v>50542</v>
          </cell>
          <cell r="E502" t="str">
            <v>MXN</v>
          </cell>
          <cell r="F502">
            <v>-3145884.23</v>
          </cell>
          <cell r="G502">
            <v>6405639.79</v>
          </cell>
          <cell r="H502">
            <v>4481484.0199999996</v>
          </cell>
          <cell r="I502">
            <v>-1221728.46</v>
          </cell>
        </row>
        <row r="503">
          <cell r="C503">
            <v>50872</v>
          </cell>
          <cell r="E503" t="str">
            <v>MXN</v>
          </cell>
          <cell r="F503">
            <v>-8472890.1999999993</v>
          </cell>
          <cell r="G503">
            <v>37113264.32</v>
          </cell>
          <cell r="H503">
            <v>39711845.289999999</v>
          </cell>
          <cell r="I503">
            <v>-11071471.17</v>
          </cell>
        </row>
        <row r="504">
          <cell r="C504">
            <v>51615</v>
          </cell>
          <cell r="E504" t="str">
            <v>MXN</v>
          </cell>
          <cell r="F504">
            <v>-3006416.51</v>
          </cell>
          <cell r="G504">
            <v>1635027.92</v>
          </cell>
          <cell r="H504">
            <v>918752.46</v>
          </cell>
          <cell r="I504">
            <v>-2290141.0499999998</v>
          </cell>
        </row>
        <row r="505">
          <cell r="C505">
            <v>51698</v>
          </cell>
          <cell r="E505" t="str">
            <v>MXN</v>
          </cell>
          <cell r="F505">
            <v>-17708353.359999999</v>
          </cell>
          <cell r="G505">
            <v>43737034.700000003</v>
          </cell>
          <cell r="H505">
            <v>51294868.789999999</v>
          </cell>
          <cell r="I505">
            <v>-25266187.449999999</v>
          </cell>
        </row>
        <row r="506">
          <cell r="C506">
            <v>51722</v>
          </cell>
          <cell r="E506" t="str">
            <v>MXN</v>
          </cell>
          <cell r="F506">
            <v>-7486117.0800000001</v>
          </cell>
          <cell r="G506">
            <v>9662902.5</v>
          </cell>
          <cell r="H506">
            <v>11994127.73</v>
          </cell>
          <cell r="I506">
            <v>-9817342.3100000005</v>
          </cell>
        </row>
        <row r="507">
          <cell r="C507">
            <v>51987</v>
          </cell>
          <cell r="E507" t="str">
            <v>MXN</v>
          </cell>
          <cell r="F507">
            <v>-6400243.2000000002</v>
          </cell>
          <cell r="G507">
            <v>21783139.030000001</v>
          </cell>
          <cell r="H507">
            <v>31782089.039999999</v>
          </cell>
          <cell r="I507">
            <v>-16399193.210000001</v>
          </cell>
        </row>
        <row r="508">
          <cell r="C508">
            <v>52035</v>
          </cell>
          <cell r="E508" t="str">
            <v>MXN</v>
          </cell>
          <cell r="F508">
            <v>-434844504.31999999</v>
          </cell>
          <cell r="G508">
            <v>703900152.20000005</v>
          </cell>
          <cell r="H508">
            <v>450395582.88</v>
          </cell>
          <cell r="I508">
            <v>-181339935</v>
          </cell>
        </row>
        <row r="509">
          <cell r="C509">
            <v>52431</v>
          </cell>
          <cell r="E509" t="str">
            <v>MXN</v>
          </cell>
          <cell r="F509">
            <v>-946822.65</v>
          </cell>
          <cell r="G509">
            <v>14894807.869999999</v>
          </cell>
          <cell r="H509">
            <v>14387017.199999999</v>
          </cell>
          <cell r="I509">
            <v>-439031.98</v>
          </cell>
        </row>
        <row r="510">
          <cell r="C510">
            <v>52449</v>
          </cell>
          <cell r="E510" t="str">
            <v>MXN</v>
          </cell>
          <cell r="F510">
            <v>-2987885.31</v>
          </cell>
          <cell r="G510">
            <v>5792161.5700000003</v>
          </cell>
          <cell r="H510">
            <v>3510646.9</v>
          </cell>
          <cell r="I510">
            <v>-706370.64</v>
          </cell>
        </row>
        <row r="511">
          <cell r="C511">
            <v>52480</v>
          </cell>
          <cell r="E511" t="str">
            <v>MXN</v>
          </cell>
          <cell r="F511">
            <v>-5498638.6200000001</v>
          </cell>
          <cell r="G511">
            <v>14073061.76</v>
          </cell>
          <cell r="H511">
            <v>11625494.119999999</v>
          </cell>
          <cell r="I511">
            <v>-3051070.98</v>
          </cell>
        </row>
        <row r="512">
          <cell r="C512">
            <v>52662</v>
          </cell>
          <cell r="E512" t="str">
            <v>MXN</v>
          </cell>
          <cell r="F512">
            <v>-36058196.100000001</v>
          </cell>
          <cell r="G512">
            <v>245614551.97999999</v>
          </cell>
          <cell r="H512">
            <v>356654619.61000001</v>
          </cell>
          <cell r="I512">
            <v>-147098263.72999999</v>
          </cell>
        </row>
        <row r="513">
          <cell r="C513">
            <v>52670</v>
          </cell>
          <cell r="E513" t="str">
            <v>MXN</v>
          </cell>
          <cell r="F513">
            <v>-71035516.459999993</v>
          </cell>
          <cell r="G513">
            <v>187395157.63999999</v>
          </cell>
          <cell r="H513">
            <v>154223521.69</v>
          </cell>
          <cell r="I513">
            <v>-37863880.509999998</v>
          </cell>
        </row>
        <row r="514">
          <cell r="C514">
            <v>52779</v>
          </cell>
          <cell r="E514" t="str">
            <v>MXN</v>
          </cell>
          <cell r="F514">
            <v>-8548309.0299999993</v>
          </cell>
          <cell r="G514">
            <v>48643679.5</v>
          </cell>
          <cell r="H514">
            <v>43604518.299999997</v>
          </cell>
          <cell r="I514">
            <v>-3509147.83</v>
          </cell>
        </row>
        <row r="515">
          <cell r="C515">
            <v>52969</v>
          </cell>
          <cell r="E515" t="str">
            <v>MXN</v>
          </cell>
          <cell r="F515">
            <v>-2167610.15</v>
          </cell>
          <cell r="G515">
            <v>3668347.02</v>
          </cell>
          <cell r="H515">
            <v>2134068.54</v>
          </cell>
          <cell r="I515">
            <v>-633331.67000000004</v>
          </cell>
        </row>
        <row r="516">
          <cell r="C516">
            <v>53256</v>
          </cell>
          <cell r="E516" t="str">
            <v>MXN</v>
          </cell>
          <cell r="F516">
            <v>-19371563.489999998</v>
          </cell>
          <cell r="G516">
            <v>56853015.560000002</v>
          </cell>
          <cell r="H516">
            <v>49803190.640000001</v>
          </cell>
          <cell r="I516">
            <v>-12321738.57</v>
          </cell>
        </row>
        <row r="517">
          <cell r="C517">
            <v>53306</v>
          </cell>
          <cell r="E517" t="str">
            <v>MXN</v>
          </cell>
          <cell r="F517">
            <v>-45717074.109999999</v>
          </cell>
          <cell r="G517">
            <v>88272223.209999993</v>
          </cell>
          <cell r="H517">
            <v>58645609.670000002</v>
          </cell>
          <cell r="I517">
            <v>-16090460.57</v>
          </cell>
        </row>
        <row r="518">
          <cell r="C518">
            <v>54031</v>
          </cell>
          <cell r="E518" t="str">
            <v>MXN</v>
          </cell>
          <cell r="F518">
            <v>-4680887.45</v>
          </cell>
          <cell r="G518">
            <v>15333857.75</v>
          </cell>
          <cell r="H518">
            <v>15991529.76</v>
          </cell>
          <cell r="I518">
            <v>-5338559.46</v>
          </cell>
        </row>
        <row r="519">
          <cell r="C519">
            <v>54569</v>
          </cell>
          <cell r="E519" t="str">
            <v>MXN</v>
          </cell>
          <cell r="F519">
            <v>-136078329.63999999</v>
          </cell>
          <cell r="G519">
            <v>266123402.16999999</v>
          </cell>
          <cell r="H519">
            <v>226484445.55000001</v>
          </cell>
          <cell r="I519">
            <v>-96439373.019999996</v>
          </cell>
        </row>
        <row r="520">
          <cell r="C520">
            <v>54791</v>
          </cell>
          <cell r="E520" t="str">
            <v>MXN</v>
          </cell>
          <cell r="F520">
            <v>-17745718.170000002</v>
          </cell>
          <cell r="G520">
            <v>54340945.770000003</v>
          </cell>
          <cell r="H520">
            <v>45326966.450000003</v>
          </cell>
          <cell r="I520">
            <v>-8731738.8499999996</v>
          </cell>
        </row>
        <row r="521">
          <cell r="C521">
            <v>54858</v>
          </cell>
          <cell r="E521" t="str">
            <v>MXN</v>
          </cell>
          <cell r="F521">
            <v>-7361110.9900000002</v>
          </cell>
          <cell r="G521">
            <v>20010649.699999999</v>
          </cell>
          <cell r="H521">
            <v>23093837.449999999</v>
          </cell>
          <cell r="I521">
            <v>-10444298.74</v>
          </cell>
        </row>
        <row r="522">
          <cell r="C522">
            <v>54908</v>
          </cell>
          <cell r="E522" t="str">
            <v>MXN</v>
          </cell>
          <cell r="F522">
            <v>-41434427.82</v>
          </cell>
          <cell r="G522">
            <v>198963859.27000001</v>
          </cell>
          <cell r="H522">
            <v>182806193.44999999</v>
          </cell>
          <cell r="I522">
            <v>-25276762</v>
          </cell>
        </row>
        <row r="523">
          <cell r="C523">
            <v>54999</v>
          </cell>
          <cell r="E523" t="str">
            <v>MXN</v>
          </cell>
          <cell r="F523">
            <v>-2564719.48</v>
          </cell>
          <cell r="G523">
            <v>11077447.43</v>
          </cell>
          <cell r="H523">
            <v>8581248.9399999995</v>
          </cell>
          <cell r="I523">
            <v>-68520.990000000005</v>
          </cell>
        </row>
        <row r="524">
          <cell r="C524">
            <v>55004</v>
          </cell>
          <cell r="E524" t="str">
            <v>MXN</v>
          </cell>
          <cell r="F524">
            <v>-13294235.16</v>
          </cell>
          <cell r="G524">
            <v>30416112.109999999</v>
          </cell>
          <cell r="H524">
            <v>15696656.09</v>
          </cell>
          <cell r="I524">
            <v>1425220.86</v>
          </cell>
        </row>
        <row r="525">
          <cell r="C525">
            <v>55046</v>
          </cell>
          <cell r="E525" t="str">
            <v>MXN</v>
          </cell>
          <cell r="F525">
            <v>-1680016.88</v>
          </cell>
          <cell r="G525">
            <v>6933593.9900000002</v>
          </cell>
          <cell r="H525">
            <v>6311918.4699999997</v>
          </cell>
          <cell r="I525">
            <v>-1058341.3600000001</v>
          </cell>
        </row>
        <row r="526">
          <cell r="C526">
            <v>55079</v>
          </cell>
          <cell r="E526" t="str">
            <v>MXN</v>
          </cell>
          <cell r="F526">
            <v>-6341706.1600000001</v>
          </cell>
          <cell r="G526">
            <v>35428509.509999998</v>
          </cell>
          <cell r="H526">
            <v>31093308.68</v>
          </cell>
          <cell r="I526">
            <v>-2006505.33</v>
          </cell>
        </row>
        <row r="527">
          <cell r="C527">
            <v>55731</v>
          </cell>
          <cell r="E527" t="str">
            <v>MXN</v>
          </cell>
          <cell r="F527">
            <v>-579284.51</v>
          </cell>
          <cell r="G527">
            <v>2376395.35</v>
          </cell>
          <cell r="H527">
            <v>1960118.42</v>
          </cell>
          <cell r="I527">
            <v>-163007.57999999999</v>
          </cell>
        </row>
        <row r="528">
          <cell r="C528">
            <v>55780</v>
          </cell>
          <cell r="E528" t="str">
            <v>MXN</v>
          </cell>
          <cell r="F528">
            <v>-47727289.810000002</v>
          </cell>
          <cell r="G528">
            <v>91745839.450000003</v>
          </cell>
          <cell r="H528">
            <v>108701214.94</v>
          </cell>
          <cell r="I528">
            <v>-64682665.299999997</v>
          </cell>
        </row>
        <row r="529">
          <cell r="C529">
            <v>55798</v>
          </cell>
          <cell r="E529" t="str">
            <v>MXN</v>
          </cell>
          <cell r="F529">
            <v>-8105584.1600000001</v>
          </cell>
          <cell r="G529">
            <v>21443793.030000001</v>
          </cell>
          <cell r="H529">
            <v>14117996.1</v>
          </cell>
          <cell r="I529">
            <v>-779787.23</v>
          </cell>
        </row>
        <row r="530">
          <cell r="C530">
            <v>55814</v>
          </cell>
          <cell r="E530" t="str">
            <v>MXN</v>
          </cell>
          <cell r="F530">
            <v>-170281796.78999999</v>
          </cell>
          <cell r="G530">
            <v>253457856.88999999</v>
          </cell>
          <cell r="H530">
            <v>150153051.81</v>
          </cell>
          <cell r="I530">
            <v>-66976991.710000001</v>
          </cell>
        </row>
        <row r="531">
          <cell r="C531">
            <v>56051</v>
          </cell>
          <cell r="E531" t="str">
            <v>MXN</v>
          </cell>
          <cell r="F531">
            <v>-395606.75</v>
          </cell>
          <cell r="G531">
            <v>383996.47</v>
          </cell>
          <cell r="H531">
            <v>0</v>
          </cell>
          <cell r="I531">
            <v>-11610.28</v>
          </cell>
        </row>
        <row r="532">
          <cell r="C532">
            <v>56150</v>
          </cell>
          <cell r="E532" t="str">
            <v>MXN</v>
          </cell>
          <cell r="F532">
            <v>-19199116.18</v>
          </cell>
          <cell r="G532">
            <v>132219992.56999999</v>
          </cell>
          <cell r="H532">
            <v>178608519.05000001</v>
          </cell>
          <cell r="I532">
            <v>-65587642.659999996</v>
          </cell>
        </row>
        <row r="533">
          <cell r="C533">
            <v>56184</v>
          </cell>
          <cell r="E533" t="str">
            <v>MXN</v>
          </cell>
          <cell r="F533">
            <v>-114513910.7</v>
          </cell>
          <cell r="G533">
            <v>254349739.59999999</v>
          </cell>
          <cell r="H533">
            <v>196639390.94999999</v>
          </cell>
          <cell r="I533">
            <v>-56803562.049999997</v>
          </cell>
        </row>
        <row r="534">
          <cell r="C534">
            <v>56689</v>
          </cell>
          <cell r="E534" t="str">
            <v>MXN</v>
          </cell>
          <cell r="F534">
            <v>-1286151.5900000001</v>
          </cell>
          <cell r="G534">
            <v>5672031.1600000001</v>
          </cell>
          <cell r="H534">
            <v>5766271.2999999998</v>
          </cell>
          <cell r="I534">
            <v>-1380391.73</v>
          </cell>
        </row>
        <row r="535">
          <cell r="C535">
            <v>57539</v>
          </cell>
          <cell r="E535" t="str">
            <v>MXN</v>
          </cell>
          <cell r="F535">
            <v>-89807.2</v>
          </cell>
          <cell r="G535">
            <v>0</v>
          </cell>
          <cell r="H535">
            <v>0</v>
          </cell>
          <cell r="I535">
            <v>-89807.2</v>
          </cell>
        </row>
        <row r="536">
          <cell r="C536">
            <v>57638</v>
          </cell>
          <cell r="E536" t="str">
            <v>MXN</v>
          </cell>
          <cell r="F536">
            <v>-7226556.2000000002</v>
          </cell>
          <cell r="G536">
            <v>31012434.359999999</v>
          </cell>
          <cell r="H536">
            <v>28899921.379999999</v>
          </cell>
          <cell r="I536">
            <v>-5114043.22</v>
          </cell>
        </row>
        <row r="537">
          <cell r="C537">
            <v>58487</v>
          </cell>
          <cell r="E537" t="str">
            <v>MXN</v>
          </cell>
          <cell r="F537">
            <v>-13602570.27</v>
          </cell>
          <cell r="G537">
            <v>22235655.09</v>
          </cell>
          <cell r="H537">
            <v>8638885.7200000007</v>
          </cell>
          <cell r="I537">
            <v>-5800.9</v>
          </cell>
        </row>
        <row r="538">
          <cell r="C538">
            <v>58750</v>
          </cell>
          <cell r="E538" t="str">
            <v>MXN</v>
          </cell>
          <cell r="F538">
            <v>-13194796.390000001</v>
          </cell>
          <cell r="G538">
            <v>40491520.579999998</v>
          </cell>
          <cell r="H538">
            <v>35211627.369999997</v>
          </cell>
          <cell r="I538">
            <v>-7914903.1799999997</v>
          </cell>
        </row>
        <row r="539">
          <cell r="C539">
            <v>58842</v>
          </cell>
          <cell r="E539" t="str">
            <v>MXN</v>
          </cell>
          <cell r="F539">
            <v>-10313727.76</v>
          </cell>
          <cell r="G539">
            <v>46073941.609999999</v>
          </cell>
          <cell r="H539">
            <v>53715763.479999997</v>
          </cell>
          <cell r="I539">
            <v>-17955549.629999999</v>
          </cell>
        </row>
        <row r="540">
          <cell r="C540">
            <v>58958</v>
          </cell>
          <cell r="E540" t="str">
            <v>MXN</v>
          </cell>
          <cell r="F540">
            <v>-2684866.63</v>
          </cell>
          <cell r="G540">
            <v>5917043.5300000003</v>
          </cell>
          <cell r="H540">
            <v>3287916.83</v>
          </cell>
          <cell r="I540">
            <v>-55739.93</v>
          </cell>
        </row>
        <row r="541">
          <cell r="C541">
            <v>60699</v>
          </cell>
          <cell r="E541" t="str">
            <v>MXN</v>
          </cell>
          <cell r="F541">
            <v>-13157049.67</v>
          </cell>
          <cell r="G541">
            <v>27378677.850000001</v>
          </cell>
          <cell r="H541">
            <v>22045378.949999999</v>
          </cell>
          <cell r="I541">
            <v>-7823750.7699999996</v>
          </cell>
        </row>
        <row r="542">
          <cell r="C542">
            <v>60863</v>
          </cell>
          <cell r="E542" t="str">
            <v>MXN</v>
          </cell>
          <cell r="F542">
            <v>-1265119.99</v>
          </cell>
          <cell r="G542">
            <v>64860909.5</v>
          </cell>
          <cell r="H542">
            <v>122557259.97</v>
          </cell>
          <cell r="I542">
            <v>-58961470.460000001</v>
          </cell>
        </row>
        <row r="543">
          <cell r="C543">
            <v>60954</v>
          </cell>
          <cell r="E543" t="str">
            <v>MXN</v>
          </cell>
          <cell r="F543">
            <v>-1825536.91</v>
          </cell>
          <cell r="G543">
            <v>8532976.0999999996</v>
          </cell>
          <cell r="H543">
            <v>7626493.2699999996</v>
          </cell>
          <cell r="I543">
            <v>-919054.08</v>
          </cell>
        </row>
        <row r="544">
          <cell r="C544">
            <v>61077</v>
          </cell>
          <cell r="E544" t="str">
            <v>MXN</v>
          </cell>
          <cell r="F544">
            <v>-5095633.63</v>
          </cell>
          <cell r="G544">
            <v>17681282.350000001</v>
          </cell>
          <cell r="H544">
            <v>14699614.289999999</v>
          </cell>
          <cell r="I544">
            <v>-2113965.5699999998</v>
          </cell>
        </row>
        <row r="545">
          <cell r="C545">
            <v>61242</v>
          </cell>
          <cell r="E545" t="str">
            <v>MXN</v>
          </cell>
          <cell r="F545">
            <v>-275766749.39999998</v>
          </cell>
          <cell r="G545">
            <v>1494818112.79</v>
          </cell>
          <cell r="H545">
            <v>1423761358.72</v>
          </cell>
          <cell r="I545">
            <v>-204709995.33000001</v>
          </cell>
        </row>
        <row r="546">
          <cell r="C546">
            <v>61325</v>
          </cell>
          <cell r="E546" t="str">
            <v>MXN</v>
          </cell>
          <cell r="F546">
            <v>-20470840.890000001</v>
          </cell>
          <cell r="G546">
            <v>41014738.719999999</v>
          </cell>
          <cell r="H546">
            <v>32336953.02</v>
          </cell>
          <cell r="I546">
            <v>-11793055.189999999</v>
          </cell>
        </row>
        <row r="547">
          <cell r="C547">
            <v>61713</v>
          </cell>
          <cell r="E547" t="str">
            <v>MXN</v>
          </cell>
          <cell r="F547">
            <v>-54416609.119999997</v>
          </cell>
          <cell r="G547">
            <v>166071110.37</v>
          </cell>
          <cell r="H547">
            <v>176100874.43000001</v>
          </cell>
          <cell r="I547">
            <v>-64446373.18</v>
          </cell>
        </row>
        <row r="548">
          <cell r="C548">
            <v>61788</v>
          </cell>
          <cell r="E548" t="str">
            <v>MXN</v>
          </cell>
          <cell r="F548">
            <v>-1905872.57</v>
          </cell>
          <cell r="G548">
            <v>2477340.92</v>
          </cell>
          <cell r="H548">
            <v>1748509.92</v>
          </cell>
          <cell r="I548">
            <v>-1177041.57</v>
          </cell>
        </row>
        <row r="549">
          <cell r="C549">
            <v>61846</v>
          </cell>
          <cell r="E549" t="str">
            <v>MXN</v>
          </cell>
          <cell r="F549">
            <v>-3823803.48</v>
          </cell>
          <cell r="G549">
            <v>11041665.470000001</v>
          </cell>
          <cell r="H549">
            <v>8037024.6200000001</v>
          </cell>
          <cell r="I549">
            <v>-819162.63</v>
          </cell>
        </row>
        <row r="550">
          <cell r="C550">
            <v>62117</v>
          </cell>
          <cell r="E550" t="str">
            <v>MXN</v>
          </cell>
          <cell r="F550">
            <v>-17969557.149999999</v>
          </cell>
          <cell r="G550">
            <v>55548265.350000001</v>
          </cell>
          <cell r="H550">
            <v>48241292.170000002</v>
          </cell>
          <cell r="I550">
            <v>-10662583.970000001</v>
          </cell>
        </row>
        <row r="551">
          <cell r="C551">
            <v>62166</v>
          </cell>
          <cell r="E551" t="str">
            <v>MXN</v>
          </cell>
          <cell r="F551">
            <v>-6556186.1399999997</v>
          </cell>
          <cell r="G551">
            <v>12326663.279999999</v>
          </cell>
          <cell r="H551">
            <v>6892324.5300000003</v>
          </cell>
          <cell r="I551">
            <v>-1121847.3899999999</v>
          </cell>
        </row>
        <row r="552">
          <cell r="C552">
            <v>62356</v>
          </cell>
          <cell r="E552" t="str">
            <v>MXN</v>
          </cell>
          <cell r="F552">
            <v>-3245705.3</v>
          </cell>
          <cell r="G552">
            <v>9803228.8699999992</v>
          </cell>
          <cell r="H552">
            <v>9850509.2300000004</v>
          </cell>
          <cell r="I552">
            <v>-3292985.66</v>
          </cell>
        </row>
        <row r="553">
          <cell r="C553">
            <v>62646</v>
          </cell>
          <cell r="E553" t="str">
            <v>MXN</v>
          </cell>
          <cell r="F553">
            <v>-13692226.34</v>
          </cell>
          <cell r="G553">
            <v>41382674.409999996</v>
          </cell>
          <cell r="H553">
            <v>37097285.770000003</v>
          </cell>
          <cell r="I553">
            <v>-9406837.6999999993</v>
          </cell>
        </row>
        <row r="554">
          <cell r="C554">
            <v>62760</v>
          </cell>
          <cell r="E554" t="str">
            <v>MXN</v>
          </cell>
          <cell r="F554">
            <v>-6322458.1100000003</v>
          </cell>
          <cell r="G554">
            <v>14763264.779999999</v>
          </cell>
          <cell r="H554">
            <v>9836875.7899999991</v>
          </cell>
          <cell r="I554">
            <v>-1396069.12</v>
          </cell>
        </row>
        <row r="555">
          <cell r="C555">
            <v>63388</v>
          </cell>
          <cell r="E555" t="str">
            <v>MXN</v>
          </cell>
          <cell r="F555">
            <v>-9417919.2300000004</v>
          </cell>
          <cell r="G555">
            <v>24618530.289999999</v>
          </cell>
          <cell r="H555">
            <v>20880133.289999999</v>
          </cell>
          <cell r="I555">
            <v>-5679522.2300000004</v>
          </cell>
        </row>
        <row r="556">
          <cell r="C556">
            <v>63677</v>
          </cell>
          <cell r="E556" t="str">
            <v>MXN</v>
          </cell>
          <cell r="F556">
            <v>-613252.99</v>
          </cell>
          <cell r="G556">
            <v>6596387.5700000003</v>
          </cell>
          <cell r="H556">
            <v>6869211.5499999998</v>
          </cell>
          <cell r="I556">
            <v>-886076.97</v>
          </cell>
        </row>
        <row r="557">
          <cell r="C557">
            <v>64014</v>
          </cell>
          <cell r="E557" t="str">
            <v>MXN</v>
          </cell>
          <cell r="F557">
            <v>-64794490.119999997</v>
          </cell>
          <cell r="G557">
            <v>169640823.71000001</v>
          </cell>
          <cell r="H557">
            <v>174267842.96000001</v>
          </cell>
          <cell r="I557">
            <v>-69421509.370000005</v>
          </cell>
        </row>
        <row r="558">
          <cell r="C558">
            <v>64162</v>
          </cell>
          <cell r="E558" t="str">
            <v>MXN</v>
          </cell>
          <cell r="F558">
            <v>-154659164.88</v>
          </cell>
          <cell r="G558">
            <v>449096137.5</v>
          </cell>
          <cell r="H558">
            <v>588595935.87</v>
          </cell>
          <cell r="I558">
            <v>-294158963.25</v>
          </cell>
        </row>
        <row r="559">
          <cell r="C559">
            <v>64170</v>
          </cell>
          <cell r="E559" t="str">
            <v>MXN</v>
          </cell>
          <cell r="F559">
            <v>-15341791.689999999</v>
          </cell>
          <cell r="G559">
            <v>41642262.009999998</v>
          </cell>
          <cell r="H559">
            <v>44486305.140000001</v>
          </cell>
          <cell r="I559">
            <v>-18185834.82</v>
          </cell>
        </row>
        <row r="560">
          <cell r="C560">
            <v>64337</v>
          </cell>
          <cell r="E560" t="str">
            <v>MXN</v>
          </cell>
          <cell r="F560">
            <v>-256593500.03</v>
          </cell>
          <cell r="G560">
            <v>686613024.27999997</v>
          </cell>
          <cell r="H560">
            <v>1026649422.77</v>
          </cell>
          <cell r="I560">
            <v>-596629898.51999998</v>
          </cell>
        </row>
        <row r="561">
          <cell r="C561">
            <v>64345</v>
          </cell>
          <cell r="E561" t="str">
            <v>MXN</v>
          </cell>
          <cell r="F561">
            <v>-8843496.9199999999</v>
          </cell>
          <cell r="G561">
            <v>25049338.719999999</v>
          </cell>
          <cell r="H561">
            <v>28377142.440000001</v>
          </cell>
          <cell r="I561">
            <v>-12171300.640000001</v>
          </cell>
        </row>
        <row r="562">
          <cell r="C562">
            <v>64675</v>
          </cell>
          <cell r="E562" t="str">
            <v>MXN</v>
          </cell>
          <cell r="F562">
            <v>-546045.24</v>
          </cell>
          <cell r="G562">
            <v>6094311.7699999996</v>
          </cell>
          <cell r="H562">
            <v>6084526.8200000003</v>
          </cell>
          <cell r="I562">
            <v>-536260.29</v>
          </cell>
        </row>
        <row r="563">
          <cell r="C563">
            <v>64840</v>
          </cell>
          <cell r="E563" t="str">
            <v>MXN</v>
          </cell>
          <cell r="F563">
            <v>-9231734.4399999995</v>
          </cell>
          <cell r="G563">
            <v>37238739.600000001</v>
          </cell>
          <cell r="H563">
            <v>32738892.75</v>
          </cell>
          <cell r="I563">
            <v>-4731887.59</v>
          </cell>
        </row>
        <row r="564">
          <cell r="C564">
            <v>64881</v>
          </cell>
          <cell r="E564" t="str">
            <v>MXN</v>
          </cell>
          <cell r="F564">
            <v>-1936056.76</v>
          </cell>
          <cell r="G564">
            <v>7398843.04</v>
          </cell>
          <cell r="H564">
            <v>5726624.0499999998</v>
          </cell>
          <cell r="I564">
            <v>-263837.77</v>
          </cell>
        </row>
        <row r="565">
          <cell r="C565">
            <v>65219</v>
          </cell>
          <cell r="E565" t="str">
            <v>MXN</v>
          </cell>
          <cell r="F565">
            <v>-10056793.27</v>
          </cell>
          <cell r="G565">
            <v>14793262.300000001</v>
          </cell>
          <cell r="H565">
            <v>11550727.119999999</v>
          </cell>
          <cell r="I565">
            <v>-6814258.0899999999</v>
          </cell>
        </row>
        <row r="566">
          <cell r="C566">
            <v>66464</v>
          </cell>
          <cell r="E566" t="str">
            <v>MXN</v>
          </cell>
          <cell r="F566">
            <v>-1996594.64</v>
          </cell>
          <cell r="G566">
            <v>8091956.1100000003</v>
          </cell>
          <cell r="H566">
            <v>7847235.9800000004</v>
          </cell>
          <cell r="I566">
            <v>-1751874.51</v>
          </cell>
        </row>
        <row r="567">
          <cell r="C567">
            <v>66712</v>
          </cell>
          <cell r="E567" t="str">
            <v>MXN</v>
          </cell>
          <cell r="F567">
            <v>-26598915.32</v>
          </cell>
          <cell r="G567">
            <v>70074120.879999995</v>
          </cell>
          <cell r="H567">
            <v>53515964.640000001</v>
          </cell>
          <cell r="I567">
            <v>-10040759.08</v>
          </cell>
        </row>
        <row r="568">
          <cell r="C568">
            <v>66738</v>
          </cell>
          <cell r="E568" t="str">
            <v>MXN</v>
          </cell>
          <cell r="F568">
            <v>-157606112.74000001</v>
          </cell>
          <cell r="G568">
            <v>541543559.26999998</v>
          </cell>
          <cell r="H568">
            <v>441567564.32999998</v>
          </cell>
          <cell r="I568">
            <v>-57630117.799999997</v>
          </cell>
        </row>
        <row r="569">
          <cell r="C569">
            <v>66746</v>
          </cell>
          <cell r="E569" t="str">
            <v>MXN</v>
          </cell>
          <cell r="F569">
            <v>-554278.66</v>
          </cell>
          <cell r="G569">
            <v>2736983.12</v>
          </cell>
          <cell r="H569">
            <v>2721099.72</v>
          </cell>
          <cell r="I569">
            <v>-538395.26</v>
          </cell>
        </row>
        <row r="570">
          <cell r="C570">
            <v>66944</v>
          </cell>
          <cell r="E570" t="str">
            <v>MXN</v>
          </cell>
          <cell r="F570">
            <v>-3076166.44</v>
          </cell>
          <cell r="G570">
            <v>7468471.1600000001</v>
          </cell>
          <cell r="H570">
            <v>6017591.0099999998</v>
          </cell>
          <cell r="I570">
            <v>-1625286.29</v>
          </cell>
        </row>
        <row r="571">
          <cell r="C571">
            <v>66951</v>
          </cell>
          <cell r="E571" t="str">
            <v>MXN</v>
          </cell>
          <cell r="F571">
            <v>-24070869.02</v>
          </cell>
          <cell r="G571">
            <v>68445578.819999993</v>
          </cell>
          <cell r="H571">
            <v>55345188.509999998</v>
          </cell>
          <cell r="I571">
            <v>-10970478.710000001</v>
          </cell>
        </row>
        <row r="572">
          <cell r="C572">
            <v>67322</v>
          </cell>
          <cell r="E572" t="str">
            <v>MXN</v>
          </cell>
          <cell r="F572">
            <v>-6574381.2300000004</v>
          </cell>
          <cell r="G572">
            <v>40349813.600000001</v>
          </cell>
          <cell r="H572">
            <v>34126255.5</v>
          </cell>
          <cell r="I572">
            <v>-350823.13</v>
          </cell>
        </row>
        <row r="573">
          <cell r="C573">
            <v>67504</v>
          </cell>
          <cell r="E573" t="str">
            <v>MXN</v>
          </cell>
          <cell r="F573">
            <v>-11607221.07</v>
          </cell>
          <cell r="G573">
            <v>35265051.170000002</v>
          </cell>
          <cell r="H573">
            <v>30286423.890000001</v>
          </cell>
          <cell r="I573">
            <v>-6628593.79</v>
          </cell>
        </row>
        <row r="574">
          <cell r="C574">
            <v>67900</v>
          </cell>
          <cell r="E574" t="str">
            <v>MXN</v>
          </cell>
          <cell r="F574">
            <v>-8169366.2999999998</v>
          </cell>
          <cell r="G574">
            <v>26223528.649999999</v>
          </cell>
          <cell r="H574">
            <v>24908850.469999999</v>
          </cell>
          <cell r="I574">
            <v>-6854688.1200000001</v>
          </cell>
        </row>
        <row r="575">
          <cell r="C575">
            <v>68080</v>
          </cell>
          <cell r="E575" t="str">
            <v>MXN</v>
          </cell>
          <cell r="F575">
            <v>-5906069.1100000003</v>
          </cell>
          <cell r="G575">
            <v>24935174.07</v>
          </cell>
          <cell r="H575">
            <v>20025981.030000001</v>
          </cell>
          <cell r="I575">
            <v>-996876.07</v>
          </cell>
        </row>
        <row r="576">
          <cell r="C576">
            <v>68155</v>
          </cell>
          <cell r="E576" t="str">
            <v>MXN</v>
          </cell>
          <cell r="F576">
            <v>-45860237.18</v>
          </cell>
          <cell r="G576">
            <v>149644305.81</v>
          </cell>
          <cell r="H576">
            <v>119280431.8</v>
          </cell>
          <cell r="I576">
            <v>-15496363.17</v>
          </cell>
        </row>
        <row r="577">
          <cell r="C577">
            <v>68403</v>
          </cell>
          <cell r="E577" t="str">
            <v>MXN</v>
          </cell>
          <cell r="F577">
            <v>-52602239.240000002</v>
          </cell>
          <cell r="G577">
            <v>145432516.84</v>
          </cell>
          <cell r="H577">
            <v>126114378.39</v>
          </cell>
          <cell r="I577">
            <v>-33284100.789999999</v>
          </cell>
        </row>
        <row r="578">
          <cell r="C578">
            <v>68783</v>
          </cell>
          <cell r="E578" t="str">
            <v>MXN</v>
          </cell>
          <cell r="F578">
            <v>-32292331.82</v>
          </cell>
          <cell r="G578">
            <v>102192751.56999999</v>
          </cell>
          <cell r="H578">
            <v>90706996.829999998</v>
          </cell>
          <cell r="I578">
            <v>-20806577.079999998</v>
          </cell>
        </row>
        <row r="579">
          <cell r="C579">
            <v>68825</v>
          </cell>
          <cell r="E579" t="str">
            <v>MXN</v>
          </cell>
          <cell r="F579">
            <v>-6654518.3399999999</v>
          </cell>
          <cell r="G579">
            <v>30439878.010000002</v>
          </cell>
          <cell r="H579">
            <v>29585467.039999999</v>
          </cell>
          <cell r="I579">
            <v>-5800107.3700000001</v>
          </cell>
        </row>
        <row r="580">
          <cell r="C580">
            <v>69310</v>
          </cell>
          <cell r="E580" t="str">
            <v>MXN</v>
          </cell>
          <cell r="F580">
            <v>-742000.86</v>
          </cell>
          <cell r="G580">
            <v>1916344</v>
          </cell>
          <cell r="H580">
            <v>1746422.53</v>
          </cell>
          <cell r="I580">
            <v>-572079.39</v>
          </cell>
        </row>
        <row r="581">
          <cell r="C581">
            <v>70490</v>
          </cell>
          <cell r="E581" t="str">
            <v>MXN</v>
          </cell>
          <cell r="F581">
            <v>-4710103.66</v>
          </cell>
          <cell r="G581">
            <v>25304924.690000001</v>
          </cell>
          <cell r="H581">
            <v>23433271.350000001</v>
          </cell>
          <cell r="I581">
            <v>-2838450.32</v>
          </cell>
        </row>
        <row r="582">
          <cell r="C582">
            <v>70664</v>
          </cell>
          <cell r="E582" t="str">
            <v>MXN</v>
          </cell>
          <cell r="F582">
            <v>-7060877.3799999999</v>
          </cell>
          <cell r="G582">
            <v>19415047.379999999</v>
          </cell>
          <cell r="H582">
            <v>18504053.129999999</v>
          </cell>
          <cell r="I582">
            <v>-6149883.1299999999</v>
          </cell>
        </row>
        <row r="583">
          <cell r="C583">
            <v>71159</v>
          </cell>
          <cell r="E583" t="str">
            <v>MXN</v>
          </cell>
          <cell r="F583">
            <v>-363749520.10000002</v>
          </cell>
          <cell r="G583">
            <v>1410711985.9200001</v>
          </cell>
          <cell r="H583">
            <v>1254548451.5</v>
          </cell>
          <cell r="I583">
            <v>-207585985.68000001</v>
          </cell>
        </row>
        <row r="584">
          <cell r="C584">
            <v>71217</v>
          </cell>
          <cell r="E584" t="str">
            <v>MXN</v>
          </cell>
          <cell r="F584">
            <v>-31803790.329999998</v>
          </cell>
          <cell r="G584">
            <v>38318982.549999997</v>
          </cell>
          <cell r="H584">
            <v>29897942.16</v>
          </cell>
          <cell r="I584">
            <v>-23382749.940000001</v>
          </cell>
        </row>
        <row r="585">
          <cell r="C585">
            <v>71233</v>
          </cell>
          <cell r="E585" t="str">
            <v>MXN</v>
          </cell>
          <cell r="F585">
            <v>-13741179.26</v>
          </cell>
          <cell r="G585">
            <v>21398649.440000001</v>
          </cell>
          <cell r="H585">
            <v>30615750.48</v>
          </cell>
          <cell r="I585">
            <v>-22958280.300000001</v>
          </cell>
        </row>
        <row r="586">
          <cell r="C586">
            <v>71324</v>
          </cell>
          <cell r="E586" t="str">
            <v>MXN</v>
          </cell>
          <cell r="F586">
            <v>-11157934.58</v>
          </cell>
          <cell r="G586">
            <v>60029564.07</v>
          </cell>
          <cell r="H586">
            <v>53548241.890000001</v>
          </cell>
          <cell r="I586">
            <v>-4676612.4000000004</v>
          </cell>
        </row>
        <row r="587">
          <cell r="C587">
            <v>71886</v>
          </cell>
          <cell r="E587" t="str">
            <v>MXN</v>
          </cell>
          <cell r="F587">
            <v>-383542.45</v>
          </cell>
          <cell r="G587">
            <v>507751.45</v>
          </cell>
          <cell r="H587">
            <v>423843.74</v>
          </cell>
          <cell r="I587">
            <v>-299634.74</v>
          </cell>
        </row>
        <row r="588">
          <cell r="C588">
            <v>72330</v>
          </cell>
          <cell r="E588" t="str">
            <v>MXN</v>
          </cell>
          <cell r="F588">
            <v>-3758452.96</v>
          </cell>
          <cell r="G588">
            <v>6513098.4000000004</v>
          </cell>
          <cell r="H588">
            <v>3306689.13</v>
          </cell>
          <cell r="I588">
            <v>-552043.68999999994</v>
          </cell>
        </row>
        <row r="589">
          <cell r="C589">
            <v>72470</v>
          </cell>
          <cell r="E589" t="str">
            <v>MXN</v>
          </cell>
          <cell r="F589">
            <v>-12825690.800000001</v>
          </cell>
          <cell r="G589">
            <v>21833626.469999999</v>
          </cell>
          <cell r="H589">
            <v>58010257.18</v>
          </cell>
          <cell r="I589">
            <v>-49002321.509999998</v>
          </cell>
        </row>
        <row r="590">
          <cell r="C590">
            <v>72884</v>
          </cell>
          <cell r="E590" t="str">
            <v>MXN</v>
          </cell>
          <cell r="F590">
            <v>-154212189.16999999</v>
          </cell>
          <cell r="G590">
            <v>353301930.27999997</v>
          </cell>
          <cell r="H590">
            <v>260502650.88999999</v>
          </cell>
          <cell r="I590">
            <v>-61412909.780000001</v>
          </cell>
        </row>
        <row r="591">
          <cell r="C591">
            <v>73049</v>
          </cell>
          <cell r="E591" t="str">
            <v>MXN</v>
          </cell>
          <cell r="F591">
            <v>-13696159.960000001</v>
          </cell>
          <cell r="G591">
            <v>75678930.200000003</v>
          </cell>
          <cell r="H591">
            <v>74154396.390000001</v>
          </cell>
          <cell r="I591">
            <v>-12171626.15</v>
          </cell>
        </row>
        <row r="592">
          <cell r="C592">
            <v>73692</v>
          </cell>
          <cell r="E592" t="str">
            <v>MXN</v>
          </cell>
          <cell r="F592">
            <v>-14169986.01</v>
          </cell>
          <cell r="G592">
            <v>50919243.060000002</v>
          </cell>
          <cell r="H592">
            <v>46135793.600000001</v>
          </cell>
          <cell r="I592">
            <v>-9386536.5500000007</v>
          </cell>
        </row>
        <row r="593">
          <cell r="C593">
            <v>74310</v>
          </cell>
          <cell r="E593" t="str">
            <v>MXN</v>
          </cell>
          <cell r="F593">
            <v>-2841575.77</v>
          </cell>
          <cell r="G593">
            <v>11037844.92</v>
          </cell>
          <cell r="H593">
            <v>10874164.35</v>
          </cell>
          <cell r="I593">
            <v>-2677895.2000000002</v>
          </cell>
        </row>
        <row r="594">
          <cell r="C594">
            <v>74849</v>
          </cell>
          <cell r="E594" t="str">
            <v>MXN</v>
          </cell>
          <cell r="F594">
            <v>-9265393.0199999996</v>
          </cell>
          <cell r="G594">
            <v>31206771.129999999</v>
          </cell>
          <cell r="H594">
            <v>29306317.359999999</v>
          </cell>
          <cell r="I594">
            <v>-7364939.25</v>
          </cell>
        </row>
        <row r="595">
          <cell r="C595">
            <v>75390</v>
          </cell>
          <cell r="E595" t="str">
            <v>MXN</v>
          </cell>
          <cell r="F595">
            <v>-41634920.82</v>
          </cell>
          <cell r="G595">
            <v>219684207.02000001</v>
          </cell>
          <cell r="H595">
            <v>324436023.57999998</v>
          </cell>
          <cell r="I595">
            <v>-146386737.38</v>
          </cell>
        </row>
        <row r="596">
          <cell r="C596">
            <v>76034</v>
          </cell>
          <cell r="E596" t="str">
            <v>MXN</v>
          </cell>
          <cell r="F596">
            <v>-281101898.32999998</v>
          </cell>
          <cell r="G596">
            <v>780012283.44000006</v>
          </cell>
          <cell r="H596">
            <v>705955957.89999998</v>
          </cell>
          <cell r="I596">
            <v>-207045572.78999999</v>
          </cell>
        </row>
        <row r="597">
          <cell r="C597">
            <v>76059</v>
          </cell>
          <cell r="E597" t="str">
            <v>MXN</v>
          </cell>
          <cell r="F597">
            <v>-88001883.219999999</v>
          </cell>
          <cell r="G597">
            <v>397014446.54000002</v>
          </cell>
          <cell r="H597">
            <v>387726724.44</v>
          </cell>
          <cell r="I597">
            <v>-78714161.120000005</v>
          </cell>
        </row>
        <row r="598">
          <cell r="C598">
            <v>76067</v>
          </cell>
          <cell r="E598" t="str">
            <v>MXN</v>
          </cell>
          <cell r="F598">
            <v>-5002835.7699999996</v>
          </cell>
          <cell r="G598">
            <v>7478811.9299999997</v>
          </cell>
          <cell r="H598">
            <v>12472431.32</v>
          </cell>
          <cell r="I598">
            <v>-9996455.1600000001</v>
          </cell>
        </row>
        <row r="599">
          <cell r="C599">
            <v>76216</v>
          </cell>
          <cell r="E599" t="str">
            <v>MXN</v>
          </cell>
          <cell r="F599">
            <v>-108366266.97</v>
          </cell>
          <cell r="G599">
            <v>299485689.99000001</v>
          </cell>
          <cell r="H599">
            <v>380356648.22000003</v>
          </cell>
          <cell r="I599">
            <v>-189237225.19999999</v>
          </cell>
        </row>
        <row r="600">
          <cell r="C600">
            <v>76471</v>
          </cell>
          <cell r="E600" t="str">
            <v>MXN</v>
          </cell>
          <cell r="F600">
            <v>-76999423.870000005</v>
          </cell>
          <cell r="G600">
            <v>147188542.06</v>
          </cell>
          <cell r="H600">
            <v>146270640.58000001</v>
          </cell>
          <cell r="I600">
            <v>-76081522.390000001</v>
          </cell>
        </row>
        <row r="601">
          <cell r="C601">
            <v>77008</v>
          </cell>
          <cell r="E601" t="str">
            <v>MXN</v>
          </cell>
          <cell r="F601">
            <v>-15979720.210000001</v>
          </cell>
          <cell r="G601">
            <v>60289851.43</v>
          </cell>
          <cell r="H601">
            <v>57571102.850000001</v>
          </cell>
          <cell r="I601">
            <v>-13260971.630000001</v>
          </cell>
        </row>
        <row r="602">
          <cell r="C602">
            <v>77289</v>
          </cell>
          <cell r="E602" t="str">
            <v>MXN</v>
          </cell>
          <cell r="F602">
            <v>-275007582.14999998</v>
          </cell>
          <cell r="G602">
            <v>890745336.63</v>
          </cell>
          <cell r="H602">
            <v>851153334.15999997</v>
          </cell>
          <cell r="I602">
            <v>-235415579.68000001</v>
          </cell>
        </row>
        <row r="603">
          <cell r="C603">
            <v>77305</v>
          </cell>
          <cell r="E603" t="str">
            <v>MXN</v>
          </cell>
          <cell r="F603">
            <v>-164097356.13</v>
          </cell>
          <cell r="G603">
            <v>675998739.98000002</v>
          </cell>
          <cell r="H603">
            <v>653681601.97000003</v>
          </cell>
          <cell r="I603">
            <v>-141780218.12</v>
          </cell>
        </row>
        <row r="604">
          <cell r="C604">
            <v>77750</v>
          </cell>
          <cell r="E604" t="str">
            <v>MXN</v>
          </cell>
          <cell r="F604">
            <v>-1517395.2</v>
          </cell>
          <cell r="G604">
            <v>1630300</v>
          </cell>
          <cell r="H604">
            <v>7234560.8399999999</v>
          </cell>
          <cell r="I604">
            <v>-7121656.04</v>
          </cell>
        </row>
        <row r="605">
          <cell r="C605">
            <v>77867</v>
          </cell>
          <cell r="E605" t="str">
            <v>MXN</v>
          </cell>
          <cell r="F605">
            <v>-418798.39</v>
          </cell>
          <cell r="G605">
            <v>4606782.29</v>
          </cell>
          <cell r="H605">
            <v>4187983.9</v>
          </cell>
          <cell r="I605">
            <v>0</v>
          </cell>
        </row>
        <row r="606">
          <cell r="C606">
            <v>77933</v>
          </cell>
          <cell r="E606" t="str">
            <v>MXN</v>
          </cell>
          <cell r="F606">
            <v>-5830780.5700000003</v>
          </cell>
          <cell r="G606">
            <v>8501039.6300000008</v>
          </cell>
          <cell r="H606">
            <v>6335712.5</v>
          </cell>
          <cell r="I606">
            <v>-3665453.44</v>
          </cell>
        </row>
        <row r="607">
          <cell r="C607">
            <v>77974</v>
          </cell>
          <cell r="E607" t="str">
            <v>MXN</v>
          </cell>
          <cell r="F607">
            <v>-64555717.710000001</v>
          </cell>
          <cell r="G607">
            <v>60602646.75</v>
          </cell>
          <cell r="H607">
            <v>23769542.620000001</v>
          </cell>
          <cell r="I607">
            <v>-27722613.579999998</v>
          </cell>
        </row>
        <row r="608">
          <cell r="C608">
            <v>78535</v>
          </cell>
          <cell r="E608" t="str">
            <v>MXN</v>
          </cell>
          <cell r="F608">
            <v>-4139893.82</v>
          </cell>
          <cell r="G608">
            <v>26679097.050000001</v>
          </cell>
          <cell r="H608">
            <v>26534685.370000001</v>
          </cell>
          <cell r="I608">
            <v>-3995482.14</v>
          </cell>
        </row>
        <row r="609">
          <cell r="C609">
            <v>79087</v>
          </cell>
          <cell r="E609" t="str">
            <v>MXN</v>
          </cell>
          <cell r="F609">
            <v>-12582109.24</v>
          </cell>
          <cell r="G609">
            <v>33957170.609999999</v>
          </cell>
          <cell r="H609">
            <v>25763723.960000001</v>
          </cell>
          <cell r="I609">
            <v>-4388662.59</v>
          </cell>
        </row>
        <row r="610">
          <cell r="C610">
            <v>79681</v>
          </cell>
          <cell r="E610" t="str">
            <v>MXN</v>
          </cell>
          <cell r="F610">
            <v>-61830893.859999999</v>
          </cell>
          <cell r="G610">
            <v>112618035.23</v>
          </cell>
          <cell r="H610">
            <v>128200604.73</v>
          </cell>
          <cell r="I610">
            <v>-77413463.359999999</v>
          </cell>
        </row>
        <row r="611">
          <cell r="C611">
            <v>80200</v>
          </cell>
          <cell r="E611" t="str">
            <v>MXN</v>
          </cell>
          <cell r="F611">
            <v>-502884.64</v>
          </cell>
          <cell r="G611">
            <v>1901898.64</v>
          </cell>
          <cell r="H611">
            <v>1539041</v>
          </cell>
          <cell r="I611">
            <v>-140027</v>
          </cell>
        </row>
        <row r="612">
          <cell r="C612">
            <v>80242</v>
          </cell>
          <cell r="E612" t="str">
            <v>MXN</v>
          </cell>
          <cell r="F612">
            <v>-21088431.399999999</v>
          </cell>
          <cell r="G612">
            <v>98155750.760000005</v>
          </cell>
          <cell r="H612">
            <v>94192474.409999996</v>
          </cell>
          <cell r="I612">
            <v>-17125155.050000001</v>
          </cell>
        </row>
        <row r="613">
          <cell r="C613">
            <v>80622</v>
          </cell>
          <cell r="E613" t="str">
            <v>MXN</v>
          </cell>
          <cell r="F613">
            <v>-46754108.869999997</v>
          </cell>
          <cell r="G613">
            <v>69211804.239999995</v>
          </cell>
          <cell r="H613">
            <v>76212257.659999996</v>
          </cell>
          <cell r="I613">
            <v>-53754562.289999999</v>
          </cell>
        </row>
        <row r="614">
          <cell r="C614">
            <v>81018</v>
          </cell>
          <cell r="E614" t="str">
            <v>MXN</v>
          </cell>
          <cell r="F614">
            <v>-10513409.67</v>
          </cell>
          <cell r="G614">
            <v>41468955.57</v>
          </cell>
          <cell r="H614">
            <v>35947565.659999996</v>
          </cell>
          <cell r="I614">
            <v>-4992019.76</v>
          </cell>
        </row>
        <row r="615">
          <cell r="C615">
            <v>81422</v>
          </cell>
          <cell r="E615" t="str">
            <v>MXN</v>
          </cell>
          <cell r="F615">
            <v>-19027756.149999999</v>
          </cell>
          <cell r="G615">
            <v>29069498.039999999</v>
          </cell>
          <cell r="H615">
            <v>49768189.509999998</v>
          </cell>
          <cell r="I615">
            <v>-39726447.619999997</v>
          </cell>
        </row>
        <row r="616">
          <cell r="C616">
            <v>81570</v>
          </cell>
          <cell r="E616" t="str">
            <v>MXN</v>
          </cell>
          <cell r="F616">
            <v>-3582518.58</v>
          </cell>
          <cell r="G616">
            <v>11699728.66</v>
          </cell>
          <cell r="H616">
            <v>8116539.2599999998</v>
          </cell>
          <cell r="I616">
            <v>670.82</v>
          </cell>
        </row>
        <row r="617">
          <cell r="C617">
            <v>81653</v>
          </cell>
          <cell r="E617" t="str">
            <v>MXN</v>
          </cell>
          <cell r="F617">
            <v>-30945335.719999999</v>
          </cell>
          <cell r="G617">
            <v>84346881.299999997</v>
          </cell>
          <cell r="H617">
            <v>89054094.659999996</v>
          </cell>
          <cell r="I617">
            <v>-35652549.079999998</v>
          </cell>
        </row>
        <row r="618">
          <cell r="C618">
            <v>81703</v>
          </cell>
          <cell r="E618" t="str">
            <v>MXN</v>
          </cell>
          <cell r="F618">
            <v>-8454358.0700000003</v>
          </cell>
          <cell r="G618">
            <v>27142769.34</v>
          </cell>
          <cell r="H618">
            <v>18456524.260000002</v>
          </cell>
          <cell r="I618">
            <v>231887.01</v>
          </cell>
        </row>
        <row r="619">
          <cell r="C619">
            <v>81927</v>
          </cell>
          <cell r="E619" t="str">
            <v>MXN</v>
          </cell>
          <cell r="F619">
            <v>-12169582.789999999</v>
          </cell>
          <cell r="G619">
            <v>20211773.829999998</v>
          </cell>
          <cell r="H619">
            <v>16370687.75</v>
          </cell>
          <cell r="I619">
            <v>-8328496.71</v>
          </cell>
        </row>
        <row r="620">
          <cell r="C620">
            <v>82289</v>
          </cell>
          <cell r="E620" t="str">
            <v>MXN</v>
          </cell>
          <cell r="F620">
            <v>-86491.31</v>
          </cell>
          <cell r="G620">
            <v>86491.31</v>
          </cell>
          <cell r="H620">
            <v>0</v>
          </cell>
          <cell r="I620">
            <v>0</v>
          </cell>
        </row>
        <row r="621">
          <cell r="C621">
            <v>82370</v>
          </cell>
          <cell r="E621" t="str">
            <v>MXN</v>
          </cell>
          <cell r="F621">
            <v>-117426161.31</v>
          </cell>
          <cell r="G621">
            <v>276462913.83999997</v>
          </cell>
          <cell r="H621">
            <v>254770932.86000001</v>
          </cell>
          <cell r="I621">
            <v>-95734180.329999998</v>
          </cell>
        </row>
        <row r="622">
          <cell r="C622">
            <v>82511</v>
          </cell>
          <cell r="E622" t="str">
            <v>MXN</v>
          </cell>
          <cell r="F622">
            <v>-50456265.719999999</v>
          </cell>
          <cell r="G622">
            <v>68706655.140000001</v>
          </cell>
          <cell r="H622">
            <v>36419683.859999999</v>
          </cell>
          <cell r="I622">
            <v>-18169294.440000001</v>
          </cell>
        </row>
        <row r="623">
          <cell r="C623">
            <v>82768</v>
          </cell>
          <cell r="E623" t="str">
            <v>MXN</v>
          </cell>
          <cell r="F623">
            <v>-19087356.370000001</v>
          </cell>
          <cell r="G623">
            <v>48735075.030000001</v>
          </cell>
          <cell r="H623">
            <v>49847816.909999996</v>
          </cell>
          <cell r="I623">
            <v>-20200098.25</v>
          </cell>
        </row>
        <row r="624">
          <cell r="C624">
            <v>82875</v>
          </cell>
          <cell r="E624" t="str">
            <v>MXN</v>
          </cell>
          <cell r="F624">
            <v>-7693584.46</v>
          </cell>
          <cell r="G624">
            <v>16298532.050000001</v>
          </cell>
          <cell r="H624">
            <v>15939661.689999999</v>
          </cell>
          <cell r="I624">
            <v>-7334714.0999999996</v>
          </cell>
        </row>
        <row r="625">
          <cell r="C625">
            <v>83063</v>
          </cell>
          <cell r="E625" t="str">
            <v>MXN</v>
          </cell>
          <cell r="F625">
            <v>-161126362.94999999</v>
          </cell>
          <cell r="G625">
            <v>405262741.38</v>
          </cell>
          <cell r="H625">
            <v>446289866.10000002</v>
          </cell>
          <cell r="I625">
            <v>-202153487.66999999</v>
          </cell>
        </row>
        <row r="626">
          <cell r="C626">
            <v>83394</v>
          </cell>
          <cell r="E626" t="str">
            <v>MXN</v>
          </cell>
          <cell r="F626">
            <v>-7916684.8799999999</v>
          </cell>
          <cell r="G626">
            <v>27921490.710000001</v>
          </cell>
          <cell r="H626">
            <v>23580462.210000001</v>
          </cell>
          <cell r="I626">
            <v>-3575656.38</v>
          </cell>
        </row>
        <row r="627">
          <cell r="C627">
            <v>83428</v>
          </cell>
          <cell r="E627" t="str">
            <v>MXN</v>
          </cell>
          <cell r="F627">
            <v>-9694961.6099999994</v>
          </cell>
          <cell r="G627">
            <v>37576084.030000001</v>
          </cell>
          <cell r="H627">
            <v>32093949.800000001</v>
          </cell>
          <cell r="I627">
            <v>-4212827.38</v>
          </cell>
        </row>
        <row r="628">
          <cell r="C628">
            <v>83584</v>
          </cell>
          <cell r="E628" t="str">
            <v>MXN</v>
          </cell>
          <cell r="F628">
            <v>-6184656.71</v>
          </cell>
          <cell r="G628">
            <v>20034089.379999999</v>
          </cell>
          <cell r="H628">
            <v>16024962.140000001</v>
          </cell>
          <cell r="I628">
            <v>-2175529.4700000002</v>
          </cell>
        </row>
        <row r="629">
          <cell r="C629">
            <v>84525</v>
          </cell>
          <cell r="E629" t="str">
            <v>MXN</v>
          </cell>
          <cell r="F629">
            <v>-2842884.85</v>
          </cell>
          <cell r="G629">
            <v>14538996.65</v>
          </cell>
          <cell r="H629">
            <v>13508030.789999999</v>
          </cell>
          <cell r="I629">
            <v>-1811918.99</v>
          </cell>
        </row>
        <row r="630">
          <cell r="C630">
            <v>85449</v>
          </cell>
          <cell r="E630" t="str">
            <v>MXN</v>
          </cell>
          <cell r="F630">
            <v>-986608.57</v>
          </cell>
          <cell r="G630">
            <v>2982386.67</v>
          </cell>
          <cell r="H630">
            <v>2982239.56</v>
          </cell>
          <cell r="I630">
            <v>-986461.46</v>
          </cell>
        </row>
        <row r="631">
          <cell r="C631">
            <v>85464</v>
          </cell>
          <cell r="E631" t="str">
            <v>MXN</v>
          </cell>
          <cell r="F631">
            <v>0</v>
          </cell>
          <cell r="G631">
            <v>2194555.35</v>
          </cell>
          <cell r="H631">
            <v>2542567.3199999998</v>
          </cell>
          <cell r="I631">
            <v>-348011.97</v>
          </cell>
        </row>
        <row r="632">
          <cell r="C632">
            <v>85902</v>
          </cell>
          <cell r="E632" t="str">
            <v>MXN</v>
          </cell>
          <cell r="F632">
            <v>-34454551.609999999</v>
          </cell>
          <cell r="G632">
            <v>35942627.009999998</v>
          </cell>
          <cell r="H632">
            <v>46906913.380000003</v>
          </cell>
          <cell r="I632">
            <v>-45418837.979999997</v>
          </cell>
        </row>
        <row r="633">
          <cell r="C633">
            <v>86041</v>
          </cell>
          <cell r="E633" t="str">
            <v>MXN</v>
          </cell>
          <cell r="F633">
            <v>-58848060.469999999</v>
          </cell>
          <cell r="G633">
            <v>92110325.400000006</v>
          </cell>
          <cell r="H633">
            <v>43638751.469999999</v>
          </cell>
          <cell r="I633">
            <v>-10376486.539999999</v>
          </cell>
        </row>
        <row r="634">
          <cell r="C634">
            <v>86199</v>
          </cell>
          <cell r="E634" t="str">
            <v>MXN</v>
          </cell>
          <cell r="F634">
            <v>-1841323.95</v>
          </cell>
          <cell r="G634">
            <v>10702489.07</v>
          </cell>
          <cell r="H634">
            <v>10383339.359999999</v>
          </cell>
          <cell r="I634">
            <v>-1522174.24</v>
          </cell>
        </row>
        <row r="635">
          <cell r="C635">
            <v>86520</v>
          </cell>
          <cell r="E635" t="str">
            <v>MXN</v>
          </cell>
          <cell r="F635">
            <v>-4028794</v>
          </cell>
          <cell r="G635">
            <v>8027965.4199999999</v>
          </cell>
          <cell r="H635">
            <v>11784420.65</v>
          </cell>
          <cell r="I635">
            <v>-7785249.2300000004</v>
          </cell>
        </row>
        <row r="636">
          <cell r="C636">
            <v>87197</v>
          </cell>
          <cell r="E636" t="str">
            <v>MXN</v>
          </cell>
          <cell r="F636">
            <v>-482559986</v>
          </cell>
          <cell r="G636">
            <v>584769797.34000003</v>
          </cell>
          <cell r="H636">
            <v>523375724.23000002</v>
          </cell>
          <cell r="I636">
            <v>-421165912.88999999</v>
          </cell>
        </row>
        <row r="637">
          <cell r="C637">
            <v>87254</v>
          </cell>
          <cell r="E637" t="str">
            <v>MXN</v>
          </cell>
          <cell r="F637">
            <v>-3725856.52</v>
          </cell>
          <cell r="G637">
            <v>12123432.390000001</v>
          </cell>
          <cell r="H637">
            <v>9734494.6999999993</v>
          </cell>
          <cell r="I637">
            <v>-1336918.83</v>
          </cell>
        </row>
        <row r="638">
          <cell r="C638">
            <v>87270</v>
          </cell>
          <cell r="E638" t="str">
            <v>MXN</v>
          </cell>
          <cell r="F638">
            <v>-5575187.4100000001</v>
          </cell>
          <cell r="G638">
            <v>7563044.3499999996</v>
          </cell>
          <cell r="H638">
            <v>4089243.51</v>
          </cell>
          <cell r="I638">
            <v>-2101386.5699999998</v>
          </cell>
        </row>
        <row r="639">
          <cell r="C639">
            <v>87841</v>
          </cell>
          <cell r="E639" t="str">
            <v>MXN</v>
          </cell>
          <cell r="F639">
            <v>0</v>
          </cell>
          <cell r="G639">
            <v>45064363.719999999</v>
          </cell>
          <cell r="H639">
            <v>45064363.719999999</v>
          </cell>
          <cell r="I639">
            <v>0</v>
          </cell>
        </row>
        <row r="640">
          <cell r="C640">
            <v>88260</v>
          </cell>
          <cell r="E640" t="str">
            <v>MXN</v>
          </cell>
          <cell r="F640">
            <v>-4181788.54</v>
          </cell>
          <cell r="G640">
            <v>13591289.560000001</v>
          </cell>
          <cell r="H640">
            <v>11977893.43</v>
          </cell>
          <cell r="I640">
            <v>-2568392.41</v>
          </cell>
        </row>
        <row r="641">
          <cell r="C641">
            <v>88815</v>
          </cell>
          <cell r="E641" t="str">
            <v>MXN</v>
          </cell>
          <cell r="F641">
            <v>-1129420.25</v>
          </cell>
          <cell r="G641">
            <v>1675358.54</v>
          </cell>
          <cell r="H641">
            <v>0</v>
          </cell>
          <cell r="I641">
            <v>545938.29</v>
          </cell>
        </row>
        <row r="642">
          <cell r="C642">
            <v>89102</v>
          </cell>
          <cell r="E642" t="str">
            <v>MXN</v>
          </cell>
          <cell r="F642">
            <v>-9496351.1999999993</v>
          </cell>
          <cell r="G642">
            <v>15878568.18</v>
          </cell>
          <cell r="H642">
            <v>10484742.08</v>
          </cell>
          <cell r="I642">
            <v>-4102525.1</v>
          </cell>
        </row>
        <row r="643">
          <cell r="C643">
            <v>89383</v>
          </cell>
          <cell r="E643" t="str">
            <v>MXN</v>
          </cell>
          <cell r="F643">
            <v>-5397440.2199999997</v>
          </cell>
          <cell r="G643">
            <v>11079337.42</v>
          </cell>
          <cell r="H643">
            <v>9870532.8100000005</v>
          </cell>
          <cell r="I643">
            <v>-4188635.61</v>
          </cell>
        </row>
        <row r="644">
          <cell r="C644">
            <v>89540</v>
          </cell>
          <cell r="E644" t="str">
            <v>MXN</v>
          </cell>
          <cell r="F644">
            <v>-3244024.51</v>
          </cell>
          <cell r="G644">
            <v>3311122.16</v>
          </cell>
          <cell r="H644">
            <v>580232.06999999995</v>
          </cell>
          <cell r="I644">
            <v>-513134.42</v>
          </cell>
        </row>
        <row r="645">
          <cell r="C645">
            <v>90159</v>
          </cell>
          <cell r="E645" t="str">
            <v>MXN</v>
          </cell>
          <cell r="F645">
            <v>-5018520.2300000004</v>
          </cell>
          <cell r="G645">
            <v>6435162.0999999996</v>
          </cell>
          <cell r="H645">
            <v>6559408.7699999996</v>
          </cell>
          <cell r="I645">
            <v>-5142766.9000000004</v>
          </cell>
        </row>
        <row r="646">
          <cell r="C646">
            <v>90258</v>
          </cell>
          <cell r="E646" t="str">
            <v>MXN</v>
          </cell>
          <cell r="F646">
            <v>-2519102.58</v>
          </cell>
          <cell r="G646">
            <v>7348596.3899999997</v>
          </cell>
          <cell r="H646">
            <v>7972718.4699999997</v>
          </cell>
          <cell r="I646">
            <v>-3143224.66</v>
          </cell>
        </row>
        <row r="647">
          <cell r="C647">
            <v>90399</v>
          </cell>
          <cell r="E647" t="str">
            <v>MXN</v>
          </cell>
          <cell r="F647">
            <v>-5534064.1299999999</v>
          </cell>
          <cell r="G647">
            <v>13281465.48</v>
          </cell>
          <cell r="H647">
            <v>13596912.109999999</v>
          </cell>
          <cell r="I647">
            <v>-5849510.7599999998</v>
          </cell>
        </row>
        <row r="648">
          <cell r="C648">
            <v>90407</v>
          </cell>
          <cell r="E648" t="str">
            <v>MXN</v>
          </cell>
          <cell r="F648">
            <v>-3594340.92</v>
          </cell>
          <cell r="G648">
            <v>21587066.300000001</v>
          </cell>
          <cell r="H648">
            <v>21134583.329999998</v>
          </cell>
          <cell r="I648">
            <v>-3141857.95</v>
          </cell>
        </row>
        <row r="649">
          <cell r="C649">
            <v>90589</v>
          </cell>
          <cell r="E649" t="str">
            <v>MXN</v>
          </cell>
          <cell r="F649">
            <v>-2632158.8199999998</v>
          </cell>
          <cell r="G649">
            <v>6819336.7199999997</v>
          </cell>
          <cell r="H649">
            <v>6129141.0800000001</v>
          </cell>
          <cell r="I649">
            <v>-1941963.18</v>
          </cell>
        </row>
        <row r="650">
          <cell r="C650">
            <v>90647</v>
          </cell>
          <cell r="E650" t="str">
            <v>MXN</v>
          </cell>
          <cell r="F650">
            <v>-1400975.09</v>
          </cell>
          <cell r="G650">
            <v>2107667.08</v>
          </cell>
          <cell r="H650">
            <v>1799437.24</v>
          </cell>
          <cell r="I650">
            <v>-1092745.25</v>
          </cell>
        </row>
        <row r="651">
          <cell r="C651">
            <v>90738</v>
          </cell>
          <cell r="E651" t="str">
            <v>MXN</v>
          </cell>
          <cell r="F651">
            <v>-78207415.120000005</v>
          </cell>
          <cell r="G651">
            <v>220654386.44999999</v>
          </cell>
          <cell r="H651">
            <v>425311437.75999999</v>
          </cell>
          <cell r="I651">
            <v>-282864466.43000001</v>
          </cell>
        </row>
        <row r="652">
          <cell r="C652">
            <v>91058</v>
          </cell>
          <cell r="E652" t="str">
            <v>MXN</v>
          </cell>
          <cell r="F652">
            <v>-8984797.3000000007</v>
          </cell>
          <cell r="G652">
            <v>20721634.949999999</v>
          </cell>
          <cell r="H652">
            <v>17088339.52</v>
          </cell>
          <cell r="I652">
            <v>-5351501.87</v>
          </cell>
        </row>
        <row r="653">
          <cell r="C653">
            <v>92080</v>
          </cell>
          <cell r="E653" t="str">
            <v>MXN</v>
          </cell>
          <cell r="F653">
            <v>-3349378.61</v>
          </cell>
          <cell r="G653">
            <v>13435658.949999999</v>
          </cell>
          <cell r="H653">
            <v>12424082.25</v>
          </cell>
          <cell r="I653">
            <v>-2337801.91</v>
          </cell>
        </row>
        <row r="654">
          <cell r="C654">
            <v>92148</v>
          </cell>
          <cell r="E654" t="str">
            <v>MXN</v>
          </cell>
          <cell r="F654">
            <v>-5281243.57</v>
          </cell>
          <cell r="G654">
            <v>5664324.6399999997</v>
          </cell>
          <cell r="H654">
            <v>1228379.8999999999</v>
          </cell>
          <cell r="I654">
            <v>-845298.83</v>
          </cell>
        </row>
        <row r="655">
          <cell r="C655">
            <v>92593</v>
          </cell>
          <cell r="E655" t="str">
            <v>MXN</v>
          </cell>
          <cell r="F655">
            <v>-6715261.2400000002</v>
          </cell>
          <cell r="G655">
            <v>21759119.82</v>
          </cell>
          <cell r="H655">
            <v>16828552.289999999</v>
          </cell>
          <cell r="I655">
            <v>-1784693.71</v>
          </cell>
        </row>
        <row r="656">
          <cell r="C656">
            <v>92692</v>
          </cell>
          <cell r="E656" t="str">
            <v>MXN</v>
          </cell>
          <cell r="F656">
            <v>-3099668.56</v>
          </cell>
          <cell r="G656">
            <v>4711320.83</v>
          </cell>
          <cell r="H656">
            <v>7571342.3399999999</v>
          </cell>
          <cell r="I656">
            <v>-5959690.0700000003</v>
          </cell>
        </row>
        <row r="657">
          <cell r="C657">
            <v>92767</v>
          </cell>
          <cell r="E657" t="str">
            <v>MXN</v>
          </cell>
          <cell r="F657">
            <v>-2411803.11</v>
          </cell>
          <cell r="G657">
            <v>3652247.51</v>
          </cell>
          <cell r="H657">
            <v>3140675.11</v>
          </cell>
          <cell r="I657">
            <v>-1900230.71</v>
          </cell>
        </row>
        <row r="658">
          <cell r="C658">
            <v>92874</v>
          </cell>
          <cell r="E658" t="str">
            <v>MXN</v>
          </cell>
          <cell r="F658">
            <v>-8156562.7400000002</v>
          </cell>
          <cell r="G658">
            <v>30245502.949999999</v>
          </cell>
          <cell r="H658">
            <v>30380354.710000001</v>
          </cell>
          <cell r="I658">
            <v>-8291414.5</v>
          </cell>
        </row>
        <row r="659">
          <cell r="C659">
            <v>93120</v>
          </cell>
          <cell r="E659" t="str">
            <v>MXN</v>
          </cell>
          <cell r="F659">
            <v>-1298643.93</v>
          </cell>
          <cell r="G659">
            <v>1938891.73</v>
          </cell>
          <cell r="H659">
            <v>2200122.1</v>
          </cell>
          <cell r="I659">
            <v>-1559874.3</v>
          </cell>
        </row>
        <row r="660">
          <cell r="C660">
            <v>93591</v>
          </cell>
          <cell r="E660" t="str">
            <v>MXN</v>
          </cell>
          <cell r="F660">
            <v>-158471284.30000001</v>
          </cell>
          <cell r="G660">
            <v>678137947.37</v>
          </cell>
          <cell r="H660">
            <v>642115063.94000006</v>
          </cell>
          <cell r="I660">
            <v>-122448400.87</v>
          </cell>
        </row>
        <row r="661">
          <cell r="C661">
            <v>93872</v>
          </cell>
          <cell r="E661" t="str">
            <v>MXN</v>
          </cell>
          <cell r="F661">
            <v>-2152564.2999999998</v>
          </cell>
          <cell r="G661">
            <v>4891496.5199999996</v>
          </cell>
          <cell r="H661">
            <v>3701685.8</v>
          </cell>
          <cell r="I661">
            <v>-962753.58</v>
          </cell>
        </row>
        <row r="662">
          <cell r="C662">
            <v>94557</v>
          </cell>
          <cell r="E662" t="str">
            <v>MXN</v>
          </cell>
          <cell r="F662">
            <v>-5368242.29</v>
          </cell>
          <cell r="G662">
            <v>12527124.9</v>
          </cell>
          <cell r="H662">
            <v>9706879.0199999996</v>
          </cell>
          <cell r="I662">
            <v>-2547996.41</v>
          </cell>
        </row>
        <row r="663">
          <cell r="C663">
            <v>94664</v>
          </cell>
          <cell r="E663" t="str">
            <v>MXN</v>
          </cell>
          <cell r="F663">
            <v>-302441746.23000002</v>
          </cell>
          <cell r="G663">
            <v>1254417606.9400001</v>
          </cell>
          <cell r="H663">
            <v>1200646698.47</v>
          </cell>
          <cell r="I663">
            <v>-248670837.75999999</v>
          </cell>
        </row>
        <row r="664">
          <cell r="C664">
            <v>95273</v>
          </cell>
          <cell r="E664" t="str">
            <v>MXN</v>
          </cell>
          <cell r="F664">
            <v>-7305436.7599999998</v>
          </cell>
          <cell r="G664">
            <v>19567802.09</v>
          </cell>
          <cell r="H664">
            <v>14547512.75</v>
          </cell>
          <cell r="I664">
            <v>-2285147.42</v>
          </cell>
        </row>
        <row r="665">
          <cell r="C665">
            <v>95570</v>
          </cell>
          <cell r="E665" t="str">
            <v>MXN</v>
          </cell>
          <cell r="F665">
            <v>-2596458.8199999998</v>
          </cell>
          <cell r="G665">
            <v>11166461.48</v>
          </cell>
          <cell r="H665">
            <v>11092090.99</v>
          </cell>
          <cell r="I665">
            <v>-2522088.33</v>
          </cell>
        </row>
        <row r="666">
          <cell r="C666">
            <v>96008</v>
          </cell>
          <cell r="E666" t="str">
            <v>MXN</v>
          </cell>
          <cell r="F666">
            <v>-123803126.03</v>
          </cell>
          <cell r="G666">
            <v>614404996.41999996</v>
          </cell>
          <cell r="H666">
            <v>529990797.70999998</v>
          </cell>
          <cell r="I666">
            <v>-39388927.32</v>
          </cell>
        </row>
        <row r="667">
          <cell r="C667">
            <v>96610</v>
          </cell>
          <cell r="E667" t="str">
            <v>MXN</v>
          </cell>
          <cell r="F667">
            <v>-9524542.7799999993</v>
          </cell>
          <cell r="G667">
            <v>34544016.229999997</v>
          </cell>
          <cell r="H667">
            <v>33282611.109999999</v>
          </cell>
          <cell r="I667">
            <v>-8263137.6600000001</v>
          </cell>
        </row>
        <row r="668">
          <cell r="C668">
            <v>96651</v>
          </cell>
          <cell r="E668" t="str">
            <v>MXN</v>
          </cell>
          <cell r="F668">
            <v>-99906328.560000002</v>
          </cell>
          <cell r="G668">
            <v>339175647.31999999</v>
          </cell>
          <cell r="H668">
            <v>290553566.73000002</v>
          </cell>
          <cell r="I668">
            <v>-51284247.969999999</v>
          </cell>
        </row>
        <row r="669">
          <cell r="C669">
            <v>96685</v>
          </cell>
          <cell r="E669" t="str">
            <v>MXN</v>
          </cell>
          <cell r="F669">
            <v>-22193.63</v>
          </cell>
          <cell r="G669">
            <v>847267.03</v>
          </cell>
          <cell r="H669">
            <v>816053.28</v>
          </cell>
          <cell r="I669">
            <v>9020.1200000000008</v>
          </cell>
        </row>
        <row r="670">
          <cell r="C670">
            <v>96909</v>
          </cell>
          <cell r="E670" t="str">
            <v>MXN</v>
          </cell>
          <cell r="F670">
            <v>-47045462.280000001</v>
          </cell>
          <cell r="G670">
            <v>173902407.09999999</v>
          </cell>
          <cell r="H670">
            <v>151701067.37</v>
          </cell>
          <cell r="I670">
            <v>-24844122.550000001</v>
          </cell>
        </row>
        <row r="671">
          <cell r="C671">
            <v>97048</v>
          </cell>
          <cell r="E671" t="str">
            <v>MXN</v>
          </cell>
          <cell r="F671">
            <v>-4567639.04</v>
          </cell>
          <cell r="G671">
            <v>27496531.190000001</v>
          </cell>
          <cell r="H671">
            <v>26028368.949999999</v>
          </cell>
          <cell r="I671">
            <v>-3099476.8</v>
          </cell>
        </row>
        <row r="672">
          <cell r="C672">
            <v>97071</v>
          </cell>
          <cell r="E672" t="str">
            <v>MXN</v>
          </cell>
          <cell r="F672">
            <v>-216953725.62</v>
          </cell>
          <cell r="G672">
            <v>227549808.91</v>
          </cell>
          <cell r="H672">
            <v>247880100.34999999</v>
          </cell>
          <cell r="I672">
            <v>-237284017.06</v>
          </cell>
        </row>
        <row r="673">
          <cell r="C673">
            <v>97378</v>
          </cell>
          <cell r="E673" t="str">
            <v>MXN</v>
          </cell>
          <cell r="F673">
            <v>-6849161.7300000004</v>
          </cell>
          <cell r="G673">
            <v>17378715.809999999</v>
          </cell>
          <cell r="H673">
            <v>15980796.689999999</v>
          </cell>
          <cell r="I673">
            <v>-5451242.6100000003</v>
          </cell>
        </row>
        <row r="674">
          <cell r="C674">
            <v>97485</v>
          </cell>
          <cell r="E674" t="str">
            <v>MXN</v>
          </cell>
          <cell r="F674">
            <v>-9546304.6600000001</v>
          </cell>
          <cell r="G674">
            <v>24467362.690000001</v>
          </cell>
          <cell r="H674">
            <v>19059856.050000001</v>
          </cell>
          <cell r="I674">
            <v>-4138798.02</v>
          </cell>
        </row>
        <row r="675">
          <cell r="C675">
            <v>97741</v>
          </cell>
          <cell r="E675" t="str">
            <v>MXN</v>
          </cell>
          <cell r="F675">
            <v>-4640686.24</v>
          </cell>
          <cell r="G675">
            <v>10559341.42</v>
          </cell>
          <cell r="H675">
            <v>9394641.1300000008</v>
          </cell>
          <cell r="I675">
            <v>-3475985.95</v>
          </cell>
        </row>
        <row r="676">
          <cell r="C676">
            <v>97873</v>
          </cell>
          <cell r="E676" t="str">
            <v>MXN</v>
          </cell>
          <cell r="F676">
            <v>-12990655.92</v>
          </cell>
          <cell r="G676">
            <v>48582926.07</v>
          </cell>
          <cell r="H676">
            <v>42257670.189999998</v>
          </cell>
          <cell r="I676">
            <v>-6665400.04</v>
          </cell>
        </row>
        <row r="677">
          <cell r="C677">
            <v>98038</v>
          </cell>
          <cell r="E677" t="str">
            <v>MXN</v>
          </cell>
          <cell r="F677">
            <v>-99812150.659999996</v>
          </cell>
          <cell r="G677">
            <v>369309861.98000002</v>
          </cell>
          <cell r="H677">
            <v>337253204.69</v>
          </cell>
          <cell r="I677">
            <v>-67755493.370000005</v>
          </cell>
        </row>
        <row r="678">
          <cell r="C678">
            <v>98327</v>
          </cell>
          <cell r="E678" t="str">
            <v>MXN</v>
          </cell>
          <cell r="F678">
            <v>-87971012.629999995</v>
          </cell>
          <cell r="G678">
            <v>124158715.37</v>
          </cell>
          <cell r="H678">
            <v>51804226.719999999</v>
          </cell>
          <cell r="I678">
            <v>-15616523.98</v>
          </cell>
        </row>
        <row r="679">
          <cell r="C679">
            <v>98350</v>
          </cell>
          <cell r="E679" t="str">
            <v>MXN</v>
          </cell>
          <cell r="F679">
            <v>-2830102.16</v>
          </cell>
          <cell r="G679">
            <v>7313638.04</v>
          </cell>
          <cell r="H679">
            <v>5096454.68</v>
          </cell>
          <cell r="I679">
            <v>-612918.80000000005</v>
          </cell>
        </row>
        <row r="680">
          <cell r="C680">
            <v>98608</v>
          </cell>
          <cell r="E680" t="str">
            <v>MXN</v>
          </cell>
          <cell r="F680">
            <v>-35241323.219999999</v>
          </cell>
          <cell r="G680">
            <v>51024216.350000001</v>
          </cell>
          <cell r="H680">
            <v>17076667.050000001</v>
          </cell>
          <cell r="I680">
            <v>-1293773.92</v>
          </cell>
        </row>
        <row r="681">
          <cell r="C681">
            <v>98798</v>
          </cell>
          <cell r="E681" t="str">
            <v>MXN</v>
          </cell>
          <cell r="F681">
            <v>-2579785.7000000002</v>
          </cell>
          <cell r="G681">
            <v>8100519.6799999997</v>
          </cell>
          <cell r="H681">
            <v>7950895.29</v>
          </cell>
          <cell r="I681">
            <v>-2430161.31</v>
          </cell>
        </row>
        <row r="682">
          <cell r="C682">
            <v>98947</v>
          </cell>
          <cell r="E682" t="str">
            <v>MXN</v>
          </cell>
          <cell r="F682">
            <v>-2428386.66</v>
          </cell>
          <cell r="G682">
            <v>2954198.92</v>
          </cell>
          <cell r="H682">
            <v>2866630.6</v>
          </cell>
          <cell r="I682">
            <v>-2340818.34</v>
          </cell>
        </row>
        <row r="683">
          <cell r="C683">
            <v>99093</v>
          </cell>
          <cell r="E683" t="str">
            <v>MXN</v>
          </cell>
          <cell r="F683">
            <v>-4067920.13</v>
          </cell>
          <cell r="G683">
            <v>21827462.550000001</v>
          </cell>
          <cell r="H683">
            <v>21460887.629999999</v>
          </cell>
          <cell r="I683">
            <v>-3701345.21</v>
          </cell>
        </row>
        <row r="684">
          <cell r="C684">
            <v>99267</v>
          </cell>
          <cell r="E684" t="str">
            <v>MXN</v>
          </cell>
          <cell r="F684">
            <v>-56599626.159999996</v>
          </cell>
          <cell r="G684">
            <v>113898525.81</v>
          </cell>
          <cell r="H684">
            <v>75246881.450000003</v>
          </cell>
          <cell r="I684">
            <v>-17947981.800000001</v>
          </cell>
        </row>
        <row r="685">
          <cell r="C685">
            <v>99432</v>
          </cell>
          <cell r="E685" t="str">
            <v>MXN</v>
          </cell>
          <cell r="F685">
            <v>-5201912.88</v>
          </cell>
          <cell r="G685">
            <v>8946285.9800000004</v>
          </cell>
          <cell r="H685">
            <v>7739756.9900000002</v>
          </cell>
          <cell r="I685">
            <v>-3995383.89</v>
          </cell>
        </row>
        <row r="686">
          <cell r="C686">
            <v>99457</v>
          </cell>
          <cell r="E686" t="str">
            <v>MXN</v>
          </cell>
          <cell r="F686">
            <v>-113762679.44</v>
          </cell>
          <cell r="G686">
            <v>254599516.34999999</v>
          </cell>
          <cell r="H686">
            <v>347750467.74000001</v>
          </cell>
          <cell r="I686">
            <v>-206913630.83000001</v>
          </cell>
        </row>
        <row r="687">
          <cell r="C687">
            <v>99630</v>
          </cell>
          <cell r="E687" t="str">
            <v>MXN</v>
          </cell>
          <cell r="F687">
            <v>-21400218.57</v>
          </cell>
          <cell r="G687">
            <v>69245700.019999996</v>
          </cell>
          <cell r="H687">
            <v>52096882.450000003</v>
          </cell>
          <cell r="I687">
            <v>-4251401</v>
          </cell>
        </row>
        <row r="688">
          <cell r="C688">
            <v>99747</v>
          </cell>
          <cell r="E688" t="str">
            <v>MXN</v>
          </cell>
          <cell r="F688">
            <v>-580801.56000000006</v>
          </cell>
          <cell r="G688">
            <v>2057937.5</v>
          </cell>
          <cell r="H688">
            <v>1689243.04</v>
          </cell>
          <cell r="I688">
            <v>-212107.1</v>
          </cell>
        </row>
        <row r="689">
          <cell r="C689">
            <v>99812</v>
          </cell>
          <cell r="E689" t="str">
            <v>MXN</v>
          </cell>
          <cell r="F689">
            <v>-24225446.18</v>
          </cell>
          <cell r="G689">
            <v>52054923.380000003</v>
          </cell>
          <cell r="H689">
            <v>29422585.629999999</v>
          </cell>
          <cell r="I689">
            <v>-1593108.43</v>
          </cell>
        </row>
        <row r="690">
          <cell r="C690">
            <v>99861</v>
          </cell>
          <cell r="E690" t="str">
            <v>MXN</v>
          </cell>
          <cell r="F690">
            <v>-12621102.82</v>
          </cell>
          <cell r="G690">
            <v>34496203.289999999</v>
          </cell>
          <cell r="H690">
            <v>36971852.609999999</v>
          </cell>
          <cell r="I690">
            <v>-15096752.140000001</v>
          </cell>
        </row>
        <row r="691">
          <cell r="C691">
            <v>99960</v>
          </cell>
          <cell r="E691" t="str">
            <v>MXN</v>
          </cell>
          <cell r="F691">
            <v>-4232459.75</v>
          </cell>
          <cell r="G691">
            <v>21690731.609999999</v>
          </cell>
          <cell r="H691">
            <v>18986478.239999998</v>
          </cell>
          <cell r="I691">
            <v>-1528206.38</v>
          </cell>
        </row>
        <row r="692">
          <cell r="C692">
            <v>100370</v>
          </cell>
          <cell r="E692" t="str">
            <v>MXN</v>
          </cell>
          <cell r="F692">
            <v>-57746639.039999999</v>
          </cell>
          <cell r="G692">
            <v>153916737.02000001</v>
          </cell>
          <cell r="H692">
            <v>124067404.81</v>
          </cell>
          <cell r="I692">
            <v>-27897306.829999998</v>
          </cell>
        </row>
        <row r="693">
          <cell r="C693">
            <v>101113</v>
          </cell>
          <cell r="E693" t="str">
            <v>MXN</v>
          </cell>
          <cell r="F693">
            <v>-8040596.2699999996</v>
          </cell>
          <cell r="G693">
            <v>19609845.68</v>
          </cell>
          <cell r="H693">
            <v>13165559.85</v>
          </cell>
          <cell r="I693">
            <v>-1596310.44</v>
          </cell>
        </row>
        <row r="694">
          <cell r="C694">
            <v>139246</v>
          </cell>
          <cell r="E694" t="str">
            <v>MXN</v>
          </cell>
          <cell r="F694">
            <v>-1433842.9</v>
          </cell>
          <cell r="G694">
            <v>4890224.05</v>
          </cell>
          <cell r="H694">
            <v>3953970.13</v>
          </cell>
          <cell r="I694">
            <v>-497588.98</v>
          </cell>
        </row>
        <row r="695">
          <cell r="C695">
            <v>152561</v>
          </cell>
          <cell r="E695" t="str">
            <v>MXN</v>
          </cell>
          <cell r="F695">
            <v>-9423831.5199999996</v>
          </cell>
          <cell r="G695">
            <v>13899000.48</v>
          </cell>
          <cell r="H695">
            <v>15708679.15</v>
          </cell>
          <cell r="I695">
            <v>-11233510.189999999</v>
          </cell>
        </row>
        <row r="696">
          <cell r="C696">
            <v>189175</v>
          </cell>
          <cell r="E696" t="str">
            <v>MXN</v>
          </cell>
          <cell r="F696">
            <v>-30869646.949999999</v>
          </cell>
          <cell r="G696">
            <v>63220820.850000001</v>
          </cell>
          <cell r="H696">
            <v>65007245.850000001</v>
          </cell>
          <cell r="I696">
            <v>-32656071.949999999</v>
          </cell>
        </row>
        <row r="697">
          <cell r="C697">
            <v>193417</v>
          </cell>
          <cell r="E697" t="str">
            <v>MXN</v>
          </cell>
          <cell r="F697">
            <v>-11028231.76</v>
          </cell>
          <cell r="G697">
            <v>25312186.890000001</v>
          </cell>
          <cell r="H697">
            <v>27965951.850000001</v>
          </cell>
          <cell r="I697">
            <v>-13681996.720000001</v>
          </cell>
        </row>
        <row r="698">
          <cell r="C698">
            <v>203749</v>
          </cell>
          <cell r="E698" t="str">
            <v>MXN</v>
          </cell>
          <cell r="F698">
            <v>-4196249.38</v>
          </cell>
          <cell r="G698">
            <v>17733110.710000001</v>
          </cell>
          <cell r="H698">
            <v>13877599</v>
          </cell>
          <cell r="I698">
            <v>-340737.67</v>
          </cell>
        </row>
        <row r="699">
          <cell r="C699">
            <v>206417</v>
          </cell>
          <cell r="E699" t="str">
            <v>MXN</v>
          </cell>
          <cell r="F699">
            <v>-5842191.8799999999</v>
          </cell>
          <cell r="G699">
            <v>51153532.899999999</v>
          </cell>
          <cell r="H699">
            <v>56835013.18</v>
          </cell>
          <cell r="I699">
            <v>-11523672.16</v>
          </cell>
        </row>
        <row r="700">
          <cell r="C700">
            <v>206466</v>
          </cell>
          <cell r="E700" t="str">
            <v>MXN</v>
          </cell>
          <cell r="F700">
            <v>-8159620.9100000001</v>
          </cell>
          <cell r="G700">
            <v>12224547.880000001</v>
          </cell>
          <cell r="H700">
            <v>8941158.1400000006</v>
          </cell>
          <cell r="I700">
            <v>-4876231.17</v>
          </cell>
        </row>
        <row r="701">
          <cell r="C701">
            <v>206706</v>
          </cell>
          <cell r="E701" t="str">
            <v>MXN</v>
          </cell>
          <cell r="F701">
            <v>-622980.32999999996</v>
          </cell>
          <cell r="G701">
            <v>759983.72</v>
          </cell>
          <cell r="H701">
            <v>757690.45</v>
          </cell>
          <cell r="I701">
            <v>-620687.06000000006</v>
          </cell>
        </row>
        <row r="702">
          <cell r="C702">
            <v>208678</v>
          </cell>
          <cell r="E702" t="str">
            <v>MXN</v>
          </cell>
          <cell r="F702">
            <v>-1862929.48</v>
          </cell>
          <cell r="G702">
            <v>4705815.3600000003</v>
          </cell>
          <cell r="H702">
            <v>3848736.36</v>
          </cell>
          <cell r="I702">
            <v>-1005850.48</v>
          </cell>
        </row>
        <row r="703">
          <cell r="C703">
            <v>208892</v>
          </cell>
          <cell r="E703" t="str">
            <v>MXN</v>
          </cell>
          <cell r="F703">
            <v>-2733623.4</v>
          </cell>
          <cell r="G703">
            <v>6522570.54</v>
          </cell>
          <cell r="H703">
            <v>7909021.5999999996</v>
          </cell>
          <cell r="I703">
            <v>-4120074.46</v>
          </cell>
        </row>
        <row r="704">
          <cell r="C704">
            <v>209943</v>
          </cell>
          <cell r="E704" t="str">
            <v>MXN</v>
          </cell>
          <cell r="F704">
            <v>-18545975.239999998</v>
          </cell>
          <cell r="G704">
            <v>18545975.239999998</v>
          </cell>
          <cell r="H704">
            <v>0</v>
          </cell>
          <cell r="I704">
            <v>0</v>
          </cell>
        </row>
        <row r="705">
          <cell r="C705">
            <v>210369</v>
          </cell>
          <cell r="E705" t="str">
            <v>MXN</v>
          </cell>
          <cell r="F705">
            <v>-6437739.1500000004</v>
          </cell>
          <cell r="G705">
            <v>16125936.16</v>
          </cell>
          <cell r="H705">
            <v>17267527.789999999</v>
          </cell>
          <cell r="I705">
            <v>-7579330.7800000003</v>
          </cell>
        </row>
        <row r="706">
          <cell r="C706">
            <v>210872</v>
          </cell>
          <cell r="E706" t="str">
            <v>MXN</v>
          </cell>
          <cell r="F706">
            <v>-171888383.97</v>
          </cell>
          <cell r="G706">
            <v>488970723.13999999</v>
          </cell>
          <cell r="H706">
            <v>425912166.86000001</v>
          </cell>
          <cell r="I706">
            <v>-108829827.69</v>
          </cell>
        </row>
        <row r="707">
          <cell r="C707">
            <v>212257</v>
          </cell>
          <cell r="E707" t="str">
            <v>MXN</v>
          </cell>
          <cell r="F707">
            <v>-3180063.55</v>
          </cell>
          <cell r="G707">
            <v>3519283.79</v>
          </cell>
          <cell r="H707">
            <v>926303.24</v>
          </cell>
          <cell r="I707">
            <v>-587083</v>
          </cell>
        </row>
        <row r="708">
          <cell r="C708">
            <v>212462</v>
          </cell>
          <cell r="E708" t="str">
            <v>MXN</v>
          </cell>
          <cell r="F708">
            <v>-89031778.560000002</v>
          </cell>
          <cell r="G708">
            <v>26152079.420000002</v>
          </cell>
          <cell r="H708">
            <v>77306043.810000002</v>
          </cell>
          <cell r="I708">
            <v>-140185742.94999999</v>
          </cell>
        </row>
        <row r="709">
          <cell r="C709">
            <v>212464</v>
          </cell>
          <cell r="E709" t="str">
            <v>MXN</v>
          </cell>
          <cell r="F709">
            <v>-3931189.98</v>
          </cell>
          <cell r="G709">
            <v>8484933.8399999999</v>
          </cell>
          <cell r="H709">
            <v>6408027.0700000003</v>
          </cell>
          <cell r="I709">
            <v>-1854283.21</v>
          </cell>
        </row>
        <row r="710">
          <cell r="C710">
            <v>213330</v>
          </cell>
          <cell r="E710" t="str">
            <v>MXN</v>
          </cell>
          <cell r="F710">
            <v>-1220588.52</v>
          </cell>
          <cell r="G710">
            <v>4435304.79</v>
          </cell>
          <cell r="H710">
            <v>3747942.27</v>
          </cell>
          <cell r="I710">
            <v>-533226</v>
          </cell>
        </row>
        <row r="711">
          <cell r="C711">
            <v>216218</v>
          </cell>
          <cell r="E711" t="str">
            <v>MXN</v>
          </cell>
          <cell r="F711">
            <v>-57257457.149999999</v>
          </cell>
          <cell r="G711">
            <v>52907130.829999998</v>
          </cell>
          <cell r="H711">
            <v>6409169.5800000001</v>
          </cell>
          <cell r="I711">
            <v>-10759495.9</v>
          </cell>
        </row>
        <row r="712">
          <cell r="C712">
            <v>219402</v>
          </cell>
          <cell r="E712" t="str">
            <v>MXN</v>
          </cell>
          <cell r="F712">
            <v>-11216474.119999999</v>
          </cell>
          <cell r="G712">
            <v>60736935.560000002</v>
          </cell>
          <cell r="H712">
            <v>51505776.450000003</v>
          </cell>
          <cell r="I712">
            <v>-1985315.01</v>
          </cell>
        </row>
        <row r="713">
          <cell r="C713">
            <v>221226</v>
          </cell>
          <cell r="E713" t="str">
            <v>MXN</v>
          </cell>
          <cell r="F713">
            <v>-3360049.67</v>
          </cell>
          <cell r="G713">
            <v>15220569.82</v>
          </cell>
          <cell r="H713">
            <v>12715288.939999999</v>
          </cell>
          <cell r="I713">
            <v>-854768.79</v>
          </cell>
        </row>
        <row r="714">
          <cell r="C714">
            <v>225839</v>
          </cell>
          <cell r="E714" t="str">
            <v>MXN</v>
          </cell>
          <cell r="F714">
            <v>-22450438.460000001</v>
          </cell>
          <cell r="G714">
            <v>51486729.439999998</v>
          </cell>
          <cell r="H714">
            <v>60129902.060000002</v>
          </cell>
          <cell r="I714">
            <v>-31093611.079999998</v>
          </cell>
        </row>
        <row r="715">
          <cell r="C715">
            <v>226092</v>
          </cell>
          <cell r="E715" t="str">
            <v>MXN</v>
          </cell>
          <cell r="F715">
            <v>-2020477.14</v>
          </cell>
          <cell r="G715">
            <v>2863514.62</v>
          </cell>
          <cell r="H715">
            <v>3268694.55</v>
          </cell>
          <cell r="I715">
            <v>-2425657.0699999998</v>
          </cell>
        </row>
        <row r="716">
          <cell r="C716">
            <v>226969</v>
          </cell>
          <cell r="E716" t="str">
            <v>MXN</v>
          </cell>
          <cell r="F716">
            <v>-5474950.3499999996</v>
          </cell>
          <cell r="G716">
            <v>17626006.93</v>
          </cell>
          <cell r="H716">
            <v>14595186.24</v>
          </cell>
          <cell r="I716">
            <v>-2444129.66</v>
          </cell>
        </row>
        <row r="717">
          <cell r="C717">
            <v>228163</v>
          </cell>
          <cell r="E717" t="str">
            <v>MXN</v>
          </cell>
          <cell r="F717">
            <v>-32639877.289999999</v>
          </cell>
          <cell r="G717">
            <v>106045410.62</v>
          </cell>
          <cell r="H717">
            <v>89586915.450000003</v>
          </cell>
          <cell r="I717">
            <v>-16181382.119999999</v>
          </cell>
        </row>
        <row r="718">
          <cell r="C718">
            <v>229732</v>
          </cell>
          <cell r="E718" t="str">
            <v>MXN</v>
          </cell>
          <cell r="F718">
            <v>-5794458.6500000004</v>
          </cell>
          <cell r="G718">
            <v>12286415.029999999</v>
          </cell>
          <cell r="H718">
            <v>10367390.85</v>
          </cell>
          <cell r="I718">
            <v>-3875434.47</v>
          </cell>
        </row>
        <row r="719">
          <cell r="C719">
            <v>229831</v>
          </cell>
          <cell r="E719" t="str">
            <v>MXN</v>
          </cell>
          <cell r="F719">
            <v>-23033060.469999999</v>
          </cell>
          <cell r="G719">
            <v>58160594.200000003</v>
          </cell>
          <cell r="H719">
            <v>51373904.469999999</v>
          </cell>
          <cell r="I719">
            <v>-16246370.74</v>
          </cell>
        </row>
        <row r="720">
          <cell r="C720">
            <v>250113</v>
          </cell>
          <cell r="E720" t="str">
            <v>MXN</v>
          </cell>
          <cell r="F720">
            <v>-2250884.35</v>
          </cell>
          <cell r="G720">
            <v>7418354.3799999999</v>
          </cell>
          <cell r="H720">
            <v>5364614.3499999996</v>
          </cell>
          <cell r="I720">
            <v>-197144.32000000001</v>
          </cell>
        </row>
        <row r="721">
          <cell r="C721">
            <v>250148</v>
          </cell>
          <cell r="E721" t="str">
            <v>MXN</v>
          </cell>
          <cell r="F721">
            <v>1740</v>
          </cell>
          <cell r="G721">
            <v>0</v>
          </cell>
          <cell r="H721">
            <v>0</v>
          </cell>
          <cell r="I721">
            <v>1740</v>
          </cell>
        </row>
        <row r="722">
          <cell r="C722">
            <v>300210</v>
          </cell>
          <cell r="E722" t="str">
            <v>MXN</v>
          </cell>
          <cell r="F722">
            <v>-232891.26</v>
          </cell>
          <cell r="G722">
            <v>6065535.0999999996</v>
          </cell>
          <cell r="H722">
            <v>6686377.0300000003</v>
          </cell>
          <cell r="I722">
            <v>-853733.19</v>
          </cell>
        </row>
        <row r="723">
          <cell r="C723">
            <v>300426</v>
          </cell>
          <cell r="E723" t="str">
            <v>MXN</v>
          </cell>
          <cell r="F723">
            <v>-15133525.310000001</v>
          </cell>
          <cell r="G723">
            <v>25743109.91</v>
          </cell>
          <cell r="H723">
            <v>15989073.789999999</v>
          </cell>
          <cell r="I723">
            <v>-5379489.1900000004</v>
          </cell>
        </row>
        <row r="724">
          <cell r="C724">
            <v>300657</v>
          </cell>
          <cell r="E724" t="str">
            <v>MXN</v>
          </cell>
          <cell r="F724">
            <v>0</v>
          </cell>
          <cell r="G724">
            <v>60566.44</v>
          </cell>
          <cell r="H724">
            <v>404202</v>
          </cell>
          <cell r="I724">
            <v>-343635.56</v>
          </cell>
        </row>
        <row r="725">
          <cell r="C725">
            <v>301002</v>
          </cell>
          <cell r="E725" t="str">
            <v>MXN</v>
          </cell>
          <cell r="F725">
            <v>-5639333.46</v>
          </cell>
          <cell r="G725">
            <v>19455144.84</v>
          </cell>
          <cell r="H725">
            <v>16102179.58</v>
          </cell>
          <cell r="I725">
            <v>-2286368.2000000002</v>
          </cell>
        </row>
        <row r="726">
          <cell r="C726">
            <v>301168</v>
          </cell>
          <cell r="E726" t="str">
            <v>MXN</v>
          </cell>
          <cell r="F726">
            <v>-10000106.810000001</v>
          </cell>
          <cell r="G726">
            <v>28350620.809999999</v>
          </cell>
          <cell r="H726">
            <v>25582269.039999999</v>
          </cell>
          <cell r="I726">
            <v>-7231755.04</v>
          </cell>
        </row>
        <row r="727">
          <cell r="C727">
            <v>301309</v>
          </cell>
          <cell r="E727" t="str">
            <v>MXN</v>
          </cell>
          <cell r="F727">
            <v>-8525850.6699999999</v>
          </cell>
          <cell r="G727">
            <v>101797801.17</v>
          </cell>
          <cell r="H727">
            <v>108523886</v>
          </cell>
          <cell r="I727">
            <v>-15251935.5</v>
          </cell>
        </row>
        <row r="728">
          <cell r="C728">
            <v>301531</v>
          </cell>
          <cell r="E728" t="str">
            <v>MXN</v>
          </cell>
          <cell r="F728">
            <v>-2204484.86</v>
          </cell>
          <cell r="G728">
            <v>7372280.7699999996</v>
          </cell>
          <cell r="H728">
            <v>7446221.0300000003</v>
          </cell>
          <cell r="I728">
            <v>-2278425.12</v>
          </cell>
        </row>
        <row r="729">
          <cell r="C729">
            <v>302059</v>
          </cell>
          <cell r="E729" t="str">
            <v>MXN</v>
          </cell>
          <cell r="F729">
            <v>-6938542.7599999998</v>
          </cell>
          <cell r="G729">
            <v>25430014.010000002</v>
          </cell>
          <cell r="H729">
            <v>22490455.84</v>
          </cell>
          <cell r="I729">
            <v>-3998984.59</v>
          </cell>
        </row>
        <row r="730">
          <cell r="C730">
            <v>302105</v>
          </cell>
          <cell r="E730" t="str">
            <v>MXN</v>
          </cell>
          <cell r="F730">
            <v>-1669002.08</v>
          </cell>
          <cell r="G730">
            <v>2009145.8</v>
          </cell>
          <cell r="H730">
            <v>1971742.49</v>
          </cell>
          <cell r="I730">
            <v>-1631598.77</v>
          </cell>
        </row>
        <row r="731">
          <cell r="C731">
            <v>302208</v>
          </cell>
          <cell r="E731" t="str">
            <v>MXN</v>
          </cell>
          <cell r="F731">
            <v>-947242.17</v>
          </cell>
          <cell r="G731">
            <v>13887876.210000001</v>
          </cell>
          <cell r="H731">
            <v>20599072.489999998</v>
          </cell>
          <cell r="I731">
            <v>-7658438.4500000002</v>
          </cell>
        </row>
        <row r="732">
          <cell r="C732">
            <v>302406</v>
          </cell>
          <cell r="E732" t="str">
            <v>MXN</v>
          </cell>
          <cell r="F732">
            <v>-8356605.7000000002</v>
          </cell>
          <cell r="G732">
            <v>9206864.9900000002</v>
          </cell>
          <cell r="H732">
            <v>7944718.2000000002</v>
          </cell>
          <cell r="I732">
            <v>-7094458.9100000001</v>
          </cell>
        </row>
        <row r="733">
          <cell r="C733">
            <v>302588</v>
          </cell>
          <cell r="E733" t="str">
            <v>MXN</v>
          </cell>
          <cell r="F733">
            <v>-3974952.9</v>
          </cell>
          <cell r="G733">
            <v>8871276.6500000004</v>
          </cell>
          <cell r="H733">
            <v>6183233.21</v>
          </cell>
          <cell r="I733">
            <v>-1286909.46</v>
          </cell>
        </row>
        <row r="734">
          <cell r="C734">
            <v>302620</v>
          </cell>
          <cell r="E734" t="str">
            <v>MXN</v>
          </cell>
          <cell r="F734">
            <v>-2739848.78</v>
          </cell>
          <cell r="G734">
            <v>11222831.32</v>
          </cell>
          <cell r="H734">
            <v>10100187.32</v>
          </cell>
          <cell r="I734">
            <v>-1617204.78</v>
          </cell>
        </row>
        <row r="735">
          <cell r="C735">
            <v>302786</v>
          </cell>
          <cell r="E735" t="str">
            <v>MXN</v>
          </cell>
          <cell r="F735">
            <v>-7811570.21</v>
          </cell>
          <cell r="G735">
            <v>26387911.93</v>
          </cell>
          <cell r="H735">
            <v>32834927.050000001</v>
          </cell>
          <cell r="I735">
            <v>-14258585.33</v>
          </cell>
        </row>
        <row r="736">
          <cell r="C736">
            <v>303254</v>
          </cell>
          <cell r="E736" t="str">
            <v>MXN</v>
          </cell>
          <cell r="F736">
            <v>-9423253.8900000006</v>
          </cell>
          <cell r="G736">
            <v>23076826.329999998</v>
          </cell>
          <cell r="H736">
            <v>14509452.83</v>
          </cell>
          <cell r="I736">
            <v>-855880.39</v>
          </cell>
        </row>
        <row r="737">
          <cell r="C737">
            <v>303284</v>
          </cell>
          <cell r="E737" t="str">
            <v>MXN</v>
          </cell>
          <cell r="F737">
            <v>-11220.13</v>
          </cell>
          <cell r="G737">
            <v>1528687.86</v>
          </cell>
          <cell r="H737">
            <v>1528687.86</v>
          </cell>
          <cell r="I737">
            <v>-11220.13</v>
          </cell>
        </row>
        <row r="738">
          <cell r="C738">
            <v>303428</v>
          </cell>
          <cell r="E738" t="str">
            <v>MXN</v>
          </cell>
          <cell r="F738">
            <v>-745.28</v>
          </cell>
          <cell r="G738">
            <v>1359.56</v>
          </cell>
          <cell r="H738">
            <v>4.4000000000000004</v>
          </cell>
          <cell r="I738">
            <v>609.88</v>
          </cell>
        </row>
        <row r="739">
          <cell r="C739">
            <v>303439</v>
          </cell>
          <cell r="E739" t="str">
            <v>MXN</v>
          </cell>
          <cell r="F739">
            <v>-2483536.16</v>
          </cell>
          <cell r="G739">
            <v>9317149.5500000007</v>
          </cell>
          <cell r="H739">
            <v>8083333.54</v>
          </cell>
          <cell r="I739">
            <v>-1249720.1499999999</v>
          </cell>
        </row>
        <row r="740">
          <cell r="C740">
            <v>303452</v>
          </cell>
          <cell r="E740" t="str">
            <v>MXN</v>
          </cell>
          <cell r="F740">
            <v>-1411376.97</v>
          </cell>
          <cell r="G740">
            <v>7564422.54</v>
          </cell>
          <cell r="H740">
            <v>6783236.46</v>
          </cell>
          <cell r="I740">
            <v>-630190.89</v>
          </cell>
        </row>
        <row r="741">
          <cell r="C741">
            <v>303472</v>
          </cell>
          <cell r="E741" t="str">
            <v>MXN</v>
          </cell>
          <cell r="F741">
            <v>-5716334.5300000003</v>
          </cell>
          <cell r="G741">
            <v>26493097.719999999</v>
          </cell>
          <cell r="H741">
            <v>24157236.43</v>
          </cell>
          <cell r="I741">
            <v>-3380473.24</v>
          </cell>
        </row>
        <row r="742">
          <cell r="C742">
            <v>303535</v>
          </cell>
          <cell r="E742" t="str">
            <v>MXN</v>
          </cell>
          <cell r="F742">
            <v>-9065639.1500000004</v>
          </cell>
          <cell r="G742">
            <v>29444970.09</v>
          </cell>
          <cell r="H742">
            <v>23675563.359999999</v>
          </cell>
          <cell r="I742">
            <v>-3296232.42</v>
          </cell>
        </row>
        <row r="743">
          <cell r="C743">
            <v>303632</v>
          </cell>
          <cell r="E743" t="str">
            <v>MXN</v>
          </cell>
          <cell r="F743">
            <v>-2384138.98</v>
          </cell>
          <cell r="G743">
            <v>3808699.86</v>
          </cell>
          <cell r="H743">
            <v>4019476.85</v>
          </cell>
          <cell r="I743">
            <v>-2594915.9700000002</v>
          </cell>
        </row>
        <row r="744">
          <cell r="C744">
            <v>303664</v>
          </cell>
          <cell r="E744" t="str">
            <v>MXN</v>
          </cell>
          <cell r="F744">
            <v>-1486679.65</v>
          </cell>
          <cell r="G744">
            <v>4426390.66</v>
          </cell>
          <cell r="H744">
            <v>3299056.09</v>
          </cell>
          <cell r="I744">
            <v>-359345.08</v>
          </cell>
        </row>
        <row r="745">
          <cell r="C745">
            <v>303681</v>
          </cell>
          <cell r="E745" t="str">
            <v>MXN</v>
          </cell>
          <cell r="F745">
            <v>-1794221.53</v>
          </cell>
          <cell r="G745">
            <v>9534590.9100000001</v>
          </cell>
          <cell r="H745">
            <v>8746210.6500000004</v>
          </cell>
          <cell r="I745">
            <v>-1005841.27</v>
          </cell>
        </row>
        <row r="746">
          <cell r="C746">
            <v>303693</v>
          </cell>
          <cell r="E746" t="str">
            <v>MXN</v>
          </cell>
          <cell r="F746">
            <v>-12228268.039999999</v>
          </cell>
          <cell r="G746">
            <v>101100414.48</v>
          </cell>
          <cell r="H746">
            <v>125166088.48</v>
          </cell>
          <cell r="I746">
            <v>-36293942.039999999</v>
          </cell>
        </row>
        <row r="747">
          <cell r="C747">
            <v>303864</v>
          </cell>
          <cell r="E747" t="str">
            <v>MXN</v>
          </cell>
          <cell r="F747">
            <v>-132184.95999999999</v>
          </cell>
          <cell r="G747">
            <v>931798.18</v>
          </cell>
          <cell r="H747">
            <v>930907.31</v>
          </cell>
          <cell r="I747">
            <v>-131294.09</v>
          </cell>
        </row>
        <row r="748">
          <cell r="C748">
            <v>303895</v>
          </cell>
          <cell r="E748" t="str">
            <v>MXN</v>
          </cell>
          <cell r="F748">
            <v>-15861988.699999999</v>
          </cell>
          <cell r="G748">
            <v>32352331.710000001</v>
          </cell>
          <cell r="H748">
            <v>18072597.129999999</v>
          </cell>
          <cell r="I748">
            <v>-1582254.12</v>
          </cell>
        </row>
        <row r="749">
          <cell r="C749">
            <v>303974</v>
          </cell>
          <cell r="E749" t="str">
            <v>MXN</v>
          </cell>
          <cell r="F749">
            <v>-18704599.760000002</v>
          </cell>
          <cell r="G749">
            <v>53146191.310000002</v>
          </cell>
          <cell r="H749">
            <v>47788905.969999999</v>
          </cell>
          <cell r="I749">
            <v>-13347314.42</v>
          </cell>
        </row>
        <row r="750">
          <cell r="C750">
            <v>303985</v>
          </cell>
          <cell r="E750" t="str">
            <v>MXN</v>
          </cell>
          <cell r="F750">
            <v>-8110734.1600000001</v>
          </cell>
          <cell r="G750">
            <v>56181207.18</v>
          </cell>
          <cell r="H750">
            <v>50690240.100000001</v>
          </cell>
          <cell r="I750">
            <v>-2619767.08</v>
          </cell>
        </row>
        <row r="751">
          <cell r="C751">
            <v>304023</v>
          </cell>
          <cell r="E751" t="str">
            <v>MXN</v>
          </cell>
          <cell r="F751">
            <v>-24066694.170000002</v>
          </cell>
          <cell r="G751">
            <v>112800265.44</v>
          </cell>
          <cell r="H751">
            <v>112481479.91</v>
          </cell>
          <cell r="I751">
            <v>-23747908.640000001</v>
          </cell>
        </row>
        <row r="752">
          <cell r="C752">
            <v>304060</v>
          </cell>
          <cell r="E752" t="str">
            <v>MXN</v>
          </cell>
          <cell r="F752">
            <v>-9511134.0399999991</v>
          </cell>
          <cell r="G752">
            <v>93769712.060000002</v>
          </cell>
          <cell r="H752">
            <v>87450846.230000004</v>
          </cell>
          <cell r="I752">
            <v>-3192268.21</v>
          </cell>
        </row>
        <row r="753">
          <cell r="C753">
            <v>304100</v>
          </cell>
          <cell r="E753" t="str">
            <v>MXN</v>
          </cell>
          <cell r="F753">
            <v>-1825852.18</v>
          </cell>
          <cell r="G753">
            <v>4373287.75</v>
          </cell>
          <cell r="H753">
            <v>2843534.85</v>
          </cell>
          <cell r="I753">
            <v>-296099.28000000003</v>
          </cell>
        </row>
        <row r="754">
          <cell r="C754">
            <v>304190</v>
          </cell>
          <cell r="E754" t="str">
            <v>MXN</v>
          </cell>
          <cell r="F754">
            <v>-14294166.57</v>
          </cell>
          <cell r="G754">
            <v>26347214.600000001</v>
          </cell>
          <cell r="H754">
            <v>27678546.309999999</v>
          </cell>
          <cell r="I754">
            <v>-15625498.279999999</v>
          </cell>
        </row>
        <row r="755">
          <cell r="C755">
            <v>304196</v>
          </cell>
          <cell r="E755" t="str">
            <v>MXN</v>
          </cell>
          <cell r="F755">
            <v>-3829759.61</v>
          </cell>
          <cell r="G755">
            <v>11172890.380000001</v>
          </cell>
          <cell r="H755">
            <v>9411500.5199999996</v>
          </cell>
          <cell r="I755">
            <v>-2068369.75</v>
          </cell>
        </row>
        <row r="756">
          <cell r="C756">
            <v>304329</v>
          </cell>
          <cell r="E756" t="str">
            <v>MXN</v>
          </cell>
          <cell r="F756">
            <v>-860097.31</v>
          </cell>
          <cell r="G756">
            <v>6619298.5199999996</v>
          </cell>
          <cell r="H756">
            <v>12041756.220000001</v>
          </cell>
          <cell r="I756">
            <v>-6282555.0099999998</v>
          </cell>
        </row>
        <row r="757">
          <cell r="C757">
            <v>304865</v>
          </cell>
          <cell r="E757" t="str">
            <v>MXN</v>
          </cell>
          <cell r="F757">
            <v>-17485.36</v>
          </cell>
          <cell r="G757">
            <v>0</v>
          </cell>
          <cell r="H757">
            <v>0</v>
          </cell>
          <cell r="I757">
            <v>-17485.36</v>
          </cell>
        </row>
        <row r="758">
          <cell r="C758">
            <v>304882</v>
          </cell>
          <cell r="E758" t="str">
            <v>MXN</v>
          </cell>
          <cell r="F758">
            <v>-392395812.63</v>
          </cell>
          <cell r="G758">
            <v>1271164116.6099999</v>
          </cell>
          <cell r="H758">
            <v>1129284915.8399999</v>
          </cell>
          <cell r="I758">
            <v>-250516611.86000001</v>
          </cell>
        </row>
        <row r="759">
          <cell r="C759">
            <v>305284</v>
          </cell>
          <cell r="E759" t="str">
            <v>MXN</v>
          </cell>
          <cell r="F759">
            <v>-12317030.529999999</v>
          </cell>
          <cell r="G759">
            <v>47019732.340000004</v>
          </cell>
          <cell r="H759">
            <v>41213348.259999998</v>
          </cell>
          <cell r="I759">
            <v>-6510646.4500000002</v>
          </cell>
        </row>
        <row r="760">
          <cell r="C760">
            <v>305638</v>
          </cell>
          <cell r="E760" t="str">
            <v>MXN</v>
          </cell>
          <cell r="F760">
            <v>-1802122.66</v>
          </cell>
          <cell r="G760">
            <v>7018419.8799999999</v>
          </cell>
          <cell r="H760">
            <v>6621889.1100000003</v>
          </cell>
          <cell r="I760">
            <v>-1405591.89</v>
          </cell>
        </row>
        <row r="761">
          <cell r="C761">
            <v>305664</v>
          </cell>
          <cell r="E761" t="str">
            <v>MXN</v>
          </cell>
          <cell r="F761">
            <v>-292026.27</v>
          </cell>
          <cell r="G761">
            <v>1345254.88</v>
          </cell>
          <cell r="H761">
            <v>1186545.76</v>
          </cell>
          <cell r="I761">
            <v>-133317.15</v>
          </cell>
        </row>
        <row r="762">
          <cell r="C762">
            <v>306225</v>
          </cell>
          <cell r="E762" t="str">
            <v>MXN</v>
          </cell>
          <cell r="F762">
            <v>-5818531.5800000001</v>
          </cell>
          <cell r="G762">
            <v>11364210.43</v>
          </cell>
          <cell r="H762">
            <v>8111347.3700000001</v>
          </cell>
          <cell r="I762">
            <v>-2565668.52</v>
          </cell>
        </row>
        <row r="763">
          <cell r="C763">
            <v>306571</v>
          </cell>
          <cell r="E763" t="str">
            <v>MXN</v>
          </cell>
          <cell r="F763">
            <v>-13267759.33</v>
          </cell>
          <cell r="G763">
            <v>45233989.219999999</v>
          </cell>
          <cell r="H763">
            <v>47971499.32</v>
          </cell>
          <cell r="I763">
            <v>-16005269.43</v>
          </cell>
        </row>
        <row r="764">
          <cell r="C764">
            <v>306646</v>
          </cell>
          <cell r="E764" t="str">
            <v>MXN</v>
          </cell>
          <cell r="F764">
            <v>-2269080.69</v>
          </cell>
          <cell r="G764">
            <v>3670010.14</v>
          </cell>
          <cell r="H764">
            <v>3320728.79</v>
          </cell>
          <cell r="I764">
            <v>-1919799.34</v>
          </cell>
        </row>
        <row r="765">
          <cell r="C765">
            <v>306910</v>
          </cell>
          <cell r="E765" t="str">
            <v>MXN</v>
          </cell>
          <cell r="F765">
            <v>-4414215.7</v>
          </cell>
          <cell r="G765">
            <v>21918134.879999999</v>
          </cell>
          <cell r="H765">
            <v>19396403.66</v>
          </cell>
          <cell r="I765">
            <v>-1892484.48</v>
          </cell>
        </row>
        <row r="766">
          <cell r="C766">
            <v>307017</v>
          </cell>
          <cell r="E766" t="str">
            <v>MXN</v>
          </cell>
          <cell r="F766">
            <v>-8426469.7400000002</v>
          </cell>
          <cell r="G766">
            <v>19344101.27</v>
          </cell>
          <cell r="H766">
            <v>15324122.710000001</v>
          </cell>
          <cell r="I766">
            <v>-4406491.18</v>
          </cell>
        </row>
        <row r="767">
          <cell r="C767">
            <v>307710</v>
          </cell>
          <cell r="E767" t="str">
            <v>MXN</v>
          </cell>
          <cell r="F767">
            <v>-6384903.6699999999</v>
          </cell>
          <cell r="G767">
            <v>15257720.67</v>
          </cell>
          <cell r="H767">
            <v>13625883.25</v>
          </cell>
          <cell r="I767">
            <v>-4753066.25</v>
          </cell>
        </row>
        <row r="768">
          <cell r="C768">
            <v>307819</v>
          </cell>
          <cell r="E768" t="str">
            <v>MXN</v>
          </cell>
          <cell r="F768">
            <v>-20654104.329999998</v>
          </cell>
          <cell r="G768">
            <v>37653249.460000001</v>
          </cell>
          <cell r="H768">
            <v>21800109.489999998</v>
          </cell>
          <cell r="I768">
            <v>-4800964.3600000003</v>
          </cell>
        </row>
        <row r="769">
          <cell r="C769">
            <v>307900</v>
          </cell>
          <cell r="E769" t="str">
            <v>MXN</v>
          </cell>
          <cell r="F769">
            <v>-7216614.6699999999</v>
          </cell>
          <cell r="G769">
            <v>15792307.539999999</v>
          </cell>
          <cell r="H769">
            <v>10075250.189999999</v>
          </cell>
          <cell r="I769">
            <v>-1499557.32</v>
          </cell>
        </row>
        <row r="770">
          <cell r="C770">
            <v>307985</v>
          </cell>
          <cell r="E770" t="str">
            <v>MXN</v>
          </cell>
          <cell r="F770">
            <v>-18527366.780000001</v>
          </cell>
          <cell r="G770">
            <v>75489122.709999993</v>
          </cell>
          <cell r="H770">
            <v>73385451.920000002</v>
          </cell>
          <cell r="I770">
            <v>-16423695.99</v>
          </cell>
        </row>
        <row r="771">
          <cell r="C771">
            <v>307988</v>
          </cell>
          <cell r="E771" t="str">
            <v>MXN</v>
          </cell>
          <cell r="F771">
            <v>-42859205.549999997</v>
          </cell>
          <cell r="G771">
            <v>88159061.25</v>
          </cell>
          <cell r="H771">
            <v>65229055.5</v>
          </cell>
          <cell r="I771">
            <v>-19929199.800000001</v>
          </cell>
        </row>
        <row r="772">
          <cell r="C772">
            <v>308403</v>
          </cell>
          <cell r="E772" t="str">
            <v>MXN</v>
          </cell>
          <cell r="F772">
            <v>-7948405.4000000004</v>
          </cell>
          <cell r="G772">
            <v>37729786.859999999</v>
          </cell>
          <cell r="H772">
            <v>34702513.859999999</v>
          </cell>
          <cell r="I772">
            <v>-4921132.4000000004</v>
          </cell>
        </row>
        <row r="773">
          <cell r="C773">
            <v>308421</v>
          </cell>
          <cell r="E773" t="str">
            <v>MXN</v>
          </cell>
          <cell r="F773">
            <v>-22263707.640000001</v>
          </cell>
          <cell r="G773">
            <v>37297223.960000001</v>
          </cell>
          <cell r="H773">
            <v>58567002.710000001</v>
          </cell>
          <cell r="I773">
            <v>-43533486.390000001</v>
          </cell>
        </row>
        <row r="774">
          <cell r="C774">
            <v>308478</v>
          </cell>
          <cell r="E774" t="str">
            <v>MXN</v>
          </cell>
          <cell r="F774">
            <v>-21278963.210000001</v>
          </cell>
          <cell r="G774">
            <v>123212591.70999999</v>
          </cell>
          <cell r="H774">
            <v>163803255.56999999</v>
          </cell>
          <cell r="I774">
            <v>-61869627.07</v>
          </cell>
        </row>
        <row r="775">
          <cell r="C775">
            <v>308584</v>
          </cell>
          <cell r="E775" t="str">
            <v>MXN</v>
          </cell>
          <cell r="F775">
            <v>-3900348.48</v>
          </cell>
          <cell r="G775">
            <v>5066726.29</v>
          </cell>
          <cell r="H775">
            <v>4726277.32</v>
          </cell>
          <cell r="I775">
            <v>-3559899.51</v>
          </cell>
        </row>
        <row r="776">
          <cell r="C776">
            <v>308592</v>
          </cell>
          <cell r="E776" t="str">
            <v>MXN</v>
          </cell>
          <cell r="F776">
            <v>1313.88</v>
          </cell>
          <cell r="G776">
            <v>181.62</v>
          </cell>
          <cell r="H776">
            <v>0</v>
          </cell>
          <cell r="I776">
            <v>1495.5</v>
          </cell>
        </row>
        <row r="777">
          <cell r="C777">
            <v>308619</v>
          </cell>
          <cell r="E777" t="str">
            <v>MXN</v>
          </cell>
          <cell r="F777">
            <v>-100596.46</v>
          </cell>
          <cell r="G777">
            <v>233261.78</v>
          </cell>
          <cell r="H777">
            <v>125808</v>
          </cell>
          <cell r="I777">
            <v>6857.32</v>
          </cell>
        </row>
        <row r="778">
          <cell r="C778">
            <v>308651</v>
          </cell>
          <cell r="E778" t="str">
            <v>MXN</v>
          </cell>
          <cell r="F778">
            <v>-22852290.93</v>
          </cell>
          <cell r="G778">
            <v>48632694.899999999</v>
          </cell>
          <cell r="H778">
            <v>35594398.079999998</v>
          </cell>
          <cell r="I778">
            <v>-9813994.1099999994</v>
          </cell>
        </row>
        <row r="779">
          <cell r="C779">
            <v>308715</v>
          </cell>
          <cell r="E779" t="str">
            <v>MXN</v>
          </cell>
          <cell r="F779">
            <v>-864647.05</v>
          </cell>
          <cell r="G779">
            <v>933038.97</v>
          </cell>
          <cell r="H779">
            <v>1462039.2</v>
          </cell>
          <cell r="I779">
            <v>-1393647.28</v>
          </cell>
        </row>
        <row r="780">
          <cell r="C780">
            <v>308721</v>
          </cell>
          <cell r="E780" t="str">
            <v>MXN</v>
          </cell>
          <cell r="F780">
            <v>-404632.86</v>
          </cell>
          <cell r="G780">
            <v>960469.95</v>
          </cell>
          <cell r="H780">
            <v>732507.09</v>
          </cell>
          <cell r="I780">
            <v>-176670</v>
          </cell>
        </row>
        <row r="781">
          <cell r="C781">
            <v>308957</v>
          </cell>
          <cell r="E781" t="str">
            <v>MXN</v>
          </cell>
          <cell r="F781">
            <v>-4774765</v>
          </cell>
          <cell r="G781">
            <v>35156365</v>
          </cell>
          <cell r="H781">
            <v>30381600</v>
          </cell>
          <cell r="I781">
            <v>0</v>
          </cell>
        </row>
        <row r="782">
          <cell r="C782">
            <v>309401</v>
          </cell>
          <cell r="E782" t="str">
            <v>MXN</v>
          </cell>
          <cell r="F782">
            <v>-6283998.6500000004</v>
          </cell>
          <cell r="G782">
            <v>9877075.6600000001</v>
          </cell>
          <cell r="H782">
            <v>8814727.25</v>
          </cell>
          <cell r="I782">
            <v>-5221650.24</v>
          </cell>
        </row>
        <row r="783">
          <cell r="C783">
            <v>309468</v>
          </cell>
          <cell r="E783" t="str">
            <v>MXN</v>
          </cell>
          <cell r="F783">
            <v>-8266768.71</v>
          </cell>
          <cell r="G783">
            <v>15714194.140000001</v>
          </cell>
          <cell r="H783">
            <v>18808850.649999999</v>
          </cell>
          <cell r="I783">
            <v>-11361425.220000001</v>
          </cell>
        </row>
        <row r="784">
          <cell r="C784">
            <v>309807</v>
          </cell>
          <cell r="E784" t="str">
            <v>MXN</v>
          </cell>
          <cell r="F784">
            <v>-7974996.8399999999</v>
          </cell>
          <cell r="G784">
            <v>10429742.859999999</v>
          </cell>
          <cell r="H784">
            <v>11808722.32</v>
          </cell>
          <cell r="I784">
            <v>-9353976.3000000007</v>
          </cell>
        </row>
        <row r="785">
          <cell r="C785">
            <v>309971</v>
          </cell>
          <cell r="E785" t="str">
            <v>MXN</v>
          </cell>
          <cell r="F785">
            <v>-79941918.609999999</v>
          </cell>
          <cell r="G785">
            <v>274685539.07999998</v>
          </cell>
          <cell r="H785">
            <v>233053400.06999999</v>
          </cell>
          <cell r="I785">
            <v>-38309779.600000001</v>
          </cell>
        </row>
        <row r="786">
          <cell r="C786">
            <v>310102</v>
          </cell>
          <cell r="E786" t="str">
            <v>MXN</v>
          </cell>
          <cell r="F786">
            <v>-9645962.5600000005</v>
          </cell>
          <cell r="G786">
            <v>19458036.390000001</v>
          </cell>
          <cell r="H786">
            <v>15542002.85</v>
          </cell>
          <cell r="I786">
            <v>-5729929.0199999996</v>
          </cell>
        </row>
        <row r="787">
          <cell r="C787">
            <v>310482</v>
          </cell>
          <cell r="E787" t="str">
            <v>MXN</v>
          </cell>
          <cell r="F787">
            <v>-68454188.829999998</v>
          </cell>
          <cell r="G787">
            <v>79059877.299999997</v>
          </cell>
          <cell r="H787">
            <v>58808100.780000001</v>
          </cell>
          <cell r="I787">
            <v>-48202412.310000002</v>
          </cell>
        </row>
        <row r="788">
          <cell r="C788">
            <v>310698</v>
          </cell>
          <cell r="E788" t="str">
            <v>MXN</v>
          </cell>
          <cell r="F788">
            <v>-28684389.719999999</v>
          </cell>
          <cell r="G788">
            <v>28684389.719999999</v>
          </cell>
          <cell r="H788">
            <v>0</v>
          </cell>
          <cell r="I788">
            <v>0</v>
          </cell>
        </row>
        <row r="789">
          <cell r="C789">
            <v>310813</v>
          </cell>
          <cell r="E789" t="str">
            <v>MXN</v>
          </cell>
          <cell r="F789">
            <v>-2989748</v>
          </cell>
          <cell r="G789">
            <v>171012851</v>
          </cell>
          <cell r="H789">
            <v>178410111</v>
          </cell>
          <cell r="I789">
            <v>-10387008</v>
          </cell>
        </row>
        <row r="790">
          <cell r="C790">
            <v>311050</v>
          </cell>
          <cell r="E790" t="str">
            <v>MXN</v>
          </cell>
          <cell r="F790">
            <v>-184331.7</v>
          </cell>
          <cell r="G790">
            <v>4268988.37</v>
          </cell>
          <cell r="H790">
            <v>4073507.85</v>
          </cell>
          <cell r="I790">
            <v>11148.82</v>
          </cell>
        </row>
        <row r="791">
          <cell r="C791">
            <v>311159</v>
          </cell>
          <cell r="E791" t="str">
            <v>MXN</v>
          </cell>
          <cell r="F791">
            <v>-11872336.93</v>
          </cell>
          <cell r="G791">
            <v>18608269.449999999</v>
          </cell>
          <cell r="H791">
            <v>18096790.449999999</v>
          </cell>
          <cell r="I791">
            <v>-11360857.93</v>
          </cell>
        </row>
        <row r="792">
          <cell r="C792">
            <v>311233</v>
          </cell>
          <cell r="E792" t="str">
            <v>MXN</v>
          </cell>
          <cell r="F792">
            <v>-2136674.13</v>
          </cell>
          <cell r="G792">
            <v>10106381.51</v>
          </cell>
          <cell r="H792">
            <v>9141104.1500000004</v>
          </cell>
          <cell r="I792">
            <v>-1171396.77</v>
          </cell>
        </row>
        <row r="793">
          <cell r="C793">
            <v>311274</v>
          </cell>
          <cell r="E793" t="str">
            <v>MXN</v>
          </cell>
          <cell r="F793">
            <v>-7098050.2800000003</v>
          </cell>
          <cell r="G793">
            <v>24689596.670000002</v>
          </cell>
          <cell r="H793">
            <v>21798478.18</v>
          </cell>
          <cell r="I793">
            <v>-4206931.79</v>
          </cell>
        </row>
        <row r="794">
          <cell r="C794">
            <v>311621</v>
          </cell>
          <cell r="E794" t="str">
            <v>MXN</v>
          </cell>
          <cell r="F794">
            <v>-5261932.76</v>
          </cell>
          <cell r="G794">
            <v>13521037.460000001</v>
          </cell>
          <cell r="H794">
            <v>14191121.359999999</v>
          </cell>
          <cell r="I794">
            <v>-5932016.6600000001</v>
          </cell>
        </row>
        <row r="795">
          <cell r="C795">
            <v>311696</v>
          </cell>
          <cell r="E795" t="str">
            <v>MXN</v>
          </cell>
          <cell r="F795">
            <v>-2775088.35</v>
          </cell>
          <cell r="G795">
            <v>4689150.25</v>
          </cell>
          <cell r="H795">
            <v>2870352.55</v>
          </cell>
          <cell r="I795">
            <v>-956290.65</v>
          </cell>
        </row>
        <row r="796">
          <cell r="C796">
            <v>311803</v>
          </cell>
          <cell r="E796" t="str">
            <v>MXN</v>
          </cell>
          <cell r="F796">
            <v>-689868.41</v>
          </cell>
          <cell r="G796">
            <v>7861468.1799999997</v>
          </cell>
          <cell r="H796">
            <v>8010361.0300000003</v>
          </cell>
          <cell r="I796">
            <v>-838761.26</v>
          </cell>
        </row>
        <row r="797">
          <cell r="C797">
            <v>312017</v>
          </cell>
          <cell r="E797" t="str">
            <v>MXN</v>
          </cell>
          <cell r="F797">
            <v>-4946742.21</v>
          </cell>
          <cell r="G797">
            <v>8238457.2699999996</v>
          </cell>
          <cell r="H797">
            <v>9033557.2400000002</v>
          </cell>
          <cell r="I797">
            <v>-5741842.1799999997</v>
          </cell>
        </row>
        <row r="798">
          <cell r="C798">
            <v>312082</v>
          </cell>
          <cell r="E798" t="str">
            <v>MXN</v>
          </cell>
          <cell r="F798">
            <v>-2948957.2</v>
          </cell>
          <cell r="G798">
            <v>8084561.5800000001</v>
          </cell>
          <cell r="H798">
            <v>5801816.0700000003</v>
          </cell>
          <cell r="I798">
            <v>-666211.68999999994</v>
          </cell>
        </row>
        <row r="799">
          <cell r="C799">
            <v>312132</v>
          </cell>
          <cell r="E799" t="str">
            <v>MXN</v>
          </cell>
          <cell r="F799">
            <v>-1325148.18</v>
          </cell>
          <cell r="G799">
            <v>1325148.2</v>
          </cell>
          <cell r="H799">
            <v>0</v>
          </cell>
          <cell r="I799">
            <v>0.02</v>
          </cell>
        </row>
        <row r="800">
          <cell r="C800">
            <v>312231</v>
          </cell>
          <cell r="E800" t="str">
            <v>MXN</v>
          </cell>
          <cell r="F800">
            <v>-11856852.27</v>
          </cell>
          <cell r="G800">
            <v>50733667.810000002</v>
          </cell>
          <cell r="H800">
            <v>48100334.539999999</v>
          </cell>
          <cell r="I800">
            <v>-9223519</v>
          </cell>
        </row>
        <row r="801">
          <cell r="C801">
            <v>312397</v>
          </cell>
          <cell r="E801" t="str">
            <v>MXN</v>
          </cell>
          <cell r="F801">
            <v>-26679228.370000001</v>
          </cell>
          <cell r="G801">
            <v>47321872.979999997</v>
          </cell>
          <cell r="H801">
            <v>39918742.369999997</v>
          </cell>
          <cell r="I801">
            <v>-19276097.760000002</v>
          </cell>
        </row>
        <row r="802">
          <cell r="C802">
            <v>312546</v>
          </cell>
          <cell r="E802" t="str">
            <v>MXN</v>
          </cell>
          <cell r="F802">
            <v>-13606861.23</v>
          </cell>
          <cell r="G802">
            <v>14001216.220000001</v>
          </cell>
          <cell r="H802">
            <v>371731.17</v>
          </cell>
          <cell r="I802">
            <v>22623.82</v>
          </cell>
        </row>
        <row r="803">
          <cell r="C803">
            <v>313353</v>
          </cell>
          <cell r="E803" t="str">
            <v>MXN</v>
          </cell>
          <cell r="F803">
            <v>-9371688.6500000004</v>
          </cell>
          <cell r="G803">
            <v>33514816.170000002</v>
          </cell>
          <cell r="H803">
            <v>32692500.07</v>
          </cell>
          <cell r="I803">
            <v>-8549372.5500000007</v>
          </cell>
        </row>
        <row r="804">
          <cell r="C804">
            <v>313387</v>
          </cell>
          <cell r="E804" t="str">
            <v>MXN</v>
          </cell>
          <cell r="F804">
            <v>-14159184.77</v>
          </cell>
          <cell r="G804">
            <v>41691285.850000001</v>
          </cell>
          <cell r="H804">
            <v>45278170.329999998</v>
          </cell>
          <cell r="I804">
            <v>-17746069.25</v>
          </cell>
        </row>
        <row r="805">
          <cell r="C805">
            <v>313692</v>
          </cell>
          <cell r="E805" t="str">
            <v>MXN</v>
          </cell>
          <cell r="F805">
            <v>32541.89</v>
          </cell>
          <cell r="G805">
            <v>162175.22</v>
          </cell>
          <cell r="H805">
            <v>305617.82</v>
          </cell>
          <cell r="I805">
            <v>-110900.71</v>
          </cell>
        </row>
        <row r="806">
          <cell r="C806">
            <v>313908</v>
          </cell>
          <cell r="E806" t="str">
            <v>MXN</v>
          </cell>
          <cell r="F806">
            <v>-6696846.1399999997</v>
          </cell>
          <cell r="G806">
            <v>9692912.2799999993</v>
          </cell>
          <cell r="H806">
            <v>8096465.0800000001</v>
          </cell>
          <cell r="I806">
            <v>-5100398.9400000004</v>
          </cell>
        </row>
        <row r="807">
          <cell r="C807">
            <v>314161</v>
          </cell>
          <cell r="E807" t="str">
            <v>MXN</v>
          </cell>
          <cell r="F807">
            <v>-4104563.7</v>
          </cell>
          <cell r="G807">
            <v>10407425.029999999</v>
          </cell>
          <cell r="H807">
            <v>7130413.4199999999</v>
          </cell>
          <cell r="I807">
            <v>-827552.09</v>
          </cell>
        </row>
        <row r="808">
          <cell r="C808">
            <v>314195</v>
          </cell>
          <cell r="E808" t="str">
            <v>MXN</v>
          </cell>
          <cell r="F808">
            <v>-5247103.3600000003</v>
          </cell>
          <cell r="G808">
            <v>30481301.390000001</v>
          </cell>
          <cell r="H808">
            <v>32300848.18</v>
          </cell>
          <cell r="I808">
            <v>-7066650.1500000004</v>
          </cell>
        </row>
        <row r="809">
          <cell r="C809">
            <v>314294</v>
          </cell>
          <cell r="E809" t="str">
            <v>MXN</v>
          </cell>
          <cell r="F809">
            <v>-7693602.0199999996</v>
          </cell>
          <cell r="G809">
            <v>43285631.670000002</v>
          </cell>
          <cell r="H809">
            <v>39911390.549999997</v>
          </cell>
          <cell r="I809">
            <v>-4319360.9000000004</v>
          </cell>
        </row>
        <row r="810">
          <cell r="C810">
            <v>314567</v>
          </cell>
          <cell r="E810" t="str">
            <v>MXN</v>
          </cell>
          <cell r="F810">
            <v>-7907277.3899999997</v>
          </cell>
          <cell r="G810">
            <v>7421224.6399999997</v>
          </cell>
          <cell r="H810">
            <v>6699512.0199999996</v>
          </cell>
          <cell r="I810">
            <v>-7185564.7699999996</v>
          </cell>
        </row>
        <row r="811">
          <cell r="C811">
            <v>314658</v>
          </cell>
          <cell r="E811" t="str">
            <v>MXN</v>
          </cell>
          <cell r="F811">
            <v>10</v>
          </cell>
          <cell r="G811">
            <v>5511.92</v>
          </cell>
          <cell r="H811">
            <v>6657.9</v>
          </cell>
          <cell r="I811">
            <v>-1135.98</v>
          </cell>
        </row>
        <row r="812">
          <cell r="C812">
            <v>314807</v>
          </cell>
          <cell r="E812" t="str">
            <v>MXN</v>
          </cell>
          <cell r="F812">
            <v>-5457894.3499999996</v>
          </cell>
          <cell r="G812">
            <v>12690188.67</v>
          </cell>
          <cell r="H812">
            <v>11971161.74</v>
          </cell>
          <cell r="I812">
            <v>-4738867.42</v>
          </cell>
        </row>
        <row r="813">
          <cell r="C813">
            <v>314815</v>
          </cell>
          <cell r="E813" t="str">
            <v>MXN</v>
          </cell>
          <cell r="F813">
            <v>-5636315.29</v>
          </cell>
          <cell r="G813">
            <v>11547815.050000001</v>
          </cell>
          <cell r="H813">
            <v>11485586.689999999</v>
          </cell>
          <cell r="I813">
            <v>-5574086.9299999997</v>
          </cell>
        </row>
        <row r="814">
          <cell r="C814">
            <v>315002</v>
          </cell>
          <cell r="E814" t="str">
            <v>MXN</v>
          </cell>
          <cell r="F814">
            <v>-2850188.75</v>
          </cell>
          <cell r="G814">
            <v>3783126.46</v>
          </cell>
          <cell r="H814">
            <v>1425891.59</v>
          </cell>
          <cell r="I814">
            <v>-492953.88</v>
          </cell>
        </row>
        <row r="815">
          <cell r="C815">
            <v>315432</v>
          </cell>
          <cell r="E815" t="str">
            <v>MXN</v>
          </cell>
          <cell r="F815">
            <v>-4188208.34</v>
          </cell>
          <cell r="G815">
            <v>13453511.35</v>
          </cell>
          <cell r="H815">
            <v>12129393.92</v>
          </cell>
          <cell r="I815">
            <v>-2864090.91</v>
          </cell>
        </row>
        <row r="816">
          <cell r="C816">
            <v>315564</v>
          </cell>
          <cell r="E816" t="str">
            <v>MXN</v>
          </cell>
          <cell r="F816">
            <v>-12427138.359999999</v>
          </cell>
          <cell r="G816">
            <v>42569056.270000003</v>
          </cell>
          <cell r="H816">
            <v>39358427.57</v>
          </cell>
          <cell r="I816">
            <v>-9216509.6600000001</v>
          </cell>
        </row>
        <row r="817">
          <cell r="C817">
            <v>315838</v>
          </cell>
          <cell r="E817" t="str">
            <v>MXN</v>
          </cell>
          <cell r="F817">
            <v>-10685229.060000001</v>
          </cell>
          <cell r="G817">
            <v>36237451.270000003</v>
          </cell>
          <cell r="H817">
            <v>28278289.52</v>
          </cell>
          <cell r="I817">
            <v>-2726067.31</v>
          </cell>
        </row>
        <row r="818">
          <cell r="C818">
            <v>315846</v>
          </cell>
          <cell r="E818" t="str">
            <v>MXN</v>
          </cell>
          <cell r="F818">
            <v>-28368166.34</v>
          </cell>
          <cell r="G818">
            <v>90749957.959999993</v>
          </cell>
          <cell r="H818">
            <v>65056872.539999999</v>
          </cell>
          <cell r="I818">
            <v>-2675080.92</v>
          </cell>
        </row>
        <row r="819">
          <cell r="C819">
            <v>316273</v>
          </cell>
          <cell r="E819" t="str">
            <v>MXN</v>
          </cell>
          <cell r="F819">
            <v>-6663387.1100000003</v>
          </cell>
          <cell r="G819">
            <v>21450642.170000002</v>
          </cell>
          <cell r="H819">
            <v>23415937.140000001</v>
          </cell>
          <cell r="I819">
            <v>-8628682.0800000001</v>
          </cell>
        </row>
        <row r="820">
          <cell r="C820">
            <v>316588</v>
          </cell>
          <cell r="E820" t="str">
            <v>MXN</v>
          </cell>
          <cell r="F820">
            <v>-6303297.8499999996</v>
          </cell>
          <cell r="G820">
            <v>9184831.6099999994</v>
          </cell>
          <cell r="H820">
            <v>13458395.26</v>
          </cell>
          <cell r="I820">
            <v>-10576861.5</v>
          </cell>
        </row>
        <row r="821">
          <cell r="C821">
            <v>316877</v>
          </cell>
          <cell r="E821" t="str">
            <v>MXN</v>
          </cell>
          <cell r="F821">
            <v>-12734389.9</v>
          </cell>
          <cell r="G821">
            <v>24751647.050000001</v>
          </cell>
          <cell r="H821">
            <v>39973849.740000002</v>
          </cell>
          <cell r="I821">
            <v>-27956592.59</v>
          </cell>
        </row>
        <row r="822">
          <cell r="C822">
            <v>316893</v>
          </cell>
          <cell r="E822" t="str">
            <v>MXN</v>
          </cell>
          <cell r="F822">
            <v>-15986047.869999999</v>
          </cell>
          <cell r="G822">
            <v>28784021.059999999</v>
          </cell>
          <cell r="H822">
            <v>15951384.289999999</v>
          </cell>
          <cell r="I822">
            <v>-3153411.1</v>
          </cell>
        </row>
        <row r="823">
          <cell r="C823">
            <v>317909</v>
          </cell>
          <cell r="E823" t="str">
            <v>MXN</v>
          </cell>
          <cell r="F823">
            <v>-2978503.11</v>
          </cell>
          <cell r="G823">
            <v>5948561.2699999996</v>
          </cell>
          <cell r="H823">
            <v>3423822.36</v>
          </cell>
          <cell r="I823">
            <v>-453764.2</v>
          </cell>
        </row>
        <row r="824">
          <cell r="C824">
            <v>317974</v>
          </cell>
          <cell r="E824" t="str">
            <v>MXN</v>
          </cell>
          <cell r="F824">
            <v>-13503674.02</v>
          </cell>
          <cell r="G824">
            <v>46465015.960000001</v>
          </cell>
          <cell r="H824">
            <v>38832393.799999997</v>
          </cell>
          <cell r="I824">
            <v>-5871051.8600000003</v>
          </cell>
        </row>
        <row r="825">
          <cell r="C825">
            <v>318196</v>
          </cell>
          <cell r="E825" t="str">
            <v>MXN</v>
          </cell>
          <cell r="F825">
            <v>-10413304.689999999</v>
          </cell>
          <cell r="G825">
            <v>20298863.23</v>
          </cell>
          <cell r="H825">
            <v>29047148.359999999</v>
          </cell>
          <cell r="I825">
            <v>-19161589.82</v>
          </cell>
        </row>
        <row r="826">
          <cell r="C826">
            <v>318204</v>
          </cell>
          <cell r="E826" t="str">
            <v>MXN</v>
          </cell>
          <cell r="F826">
            <v>-2610968.75</v>
          </cell>
          <cell r="G826">
            <v>19274608.34</v>
          </cell>
          <cell r="H826">
            <v>23656248.34</v>
          </cell>
          <cell r="I826">
            <v>-6992608.75</v>
          </cell>
        </row>
        <row r="827">
          <cell r="C827">
            <v>318493</v>
          </cell>
          <cell r="E827" t="str">
            <v>MXN</v>
          </cell>
          <cell r="F827">
            <v>-2641119.0099999998</v>
          </cell>
          <cell r="G827">
            <v>10395142.32</v>
          </cell>
          <cell r="H827">
            <v>10743703.76</v>
          </cell>
          <cell r="I827">
            <v>-2989680.45</v>
          </cell>
        </row>
        <row r="828">
          <cell r="C828">
            <v>318600</v>
          </cell>
          <cell r="E828" t="str">
            <v>MXN</v>
          </cell>
          <cell r="F828">
            <v>-1483590.53</v>
          </cell>
          <cell r="G828">
            <v>3636132.26</v>
          </cell>
          <cell r="H828">
            <v>2410611.15</v>
          </cell>
          <cell r="I828">
            <v>-258069.42</v>
          </cell>
        </row>
        <row r="829">
          <cell r="C829">
            <v>318949</v>
          </cell>
          <cell r="E829" t="str">
            <v>MXN</v>
          </cell>
          <cell r="F829">
            <v>-645887991.88</v>
          </cell>
          <cell r="G829">
            <v>2434699692.4200001</v>
          </cell>
          <cell r="H829">
            <v>2249187777.3499999</v>
          </cell>
          <cell r="I829">
            <v>-460376076.81</v>
          </cell>
        </row>
        <row r="830">
          <cell r="C830">
            <v>318980</v>
          </cell>
          <cell r="E830" t="str">
            <v>MXN</v>
          </cell>
          <cell r="F830">
            <v>-1335142.27</v>
          </cell>
          <cell r="G830">
            <v>4937538.87</v>
          </cell>
          <cell r="H830">
            <v>3878854.67</v>
          </cell>
          <cell r="I830">
            <v>-276458.07</v>
          </cell>
        </row>
        <row r="831">
          <cell r="C831">
            <v>319178</v>
          </cell>
          <cell r="E831" t="str">
            <v>MXN</v>
          </cell>
          <cell r="F831">
            <v>-12234243.01</v>
          </cell>
          <cell r="G831">
            <v>33001246.600000001</v>
          </cell>
          <cell r="H831">
            <v>36938339.039999999</v>
          </cell>
          <cell r="I831">
            <v>-16171335.449999999</v>
          </cell>
        </row>
        <row r="832">
          <cell r="C832">
            <v>319335</v>
          </cell>
          <cell r="E832" t="str">
            <v>MXN</v>
          </cell>
          <cell r="F832">
            <v>-33807569.579999998</v>
          </cell>
          <cell r="G832">
            <v>45177177.149999999</v>
          </cell>
          <cell r="H832">
            <v>28293991.579999998</v>
          </cell>
          <cell r="I832">
            <v>-16924384.010000002</v>
          </cell>
        </row>
        <row r="833">
          <cell r="C833">
            <v>319731</v>
          </cell>
          <cell r="E833" t="str">
            <v>MXN</v>
          </cell>
          <cell r="F833">
            <v>-2719709.83</v>
          </cell>
          <cell r="G833">
            <v>11946768.08</v>
          </cell>
          <cell r="H833">
            <v>13325801.050000001</v>
          </cell>
          <cell r="I833">
            <v>-4098742.8</v>
          </cell>
        </row>
        <row r="834">
          <cell r="C834">
            <v>320192</v>
          </cell>
          <cell r="E834" t="str">
            <v>MXN</v>
          </cell>
          <cell r="F834">
            <v>-26298386.800000001</v>
          </cell>
          <cell r="G834">
            <v>56109358.530000001</v>
          </cell>
          <cell r="H834">
            <v>37650536.280000001</v>
          </cell>
          <cell r="I834">
            <v>-7839564.5499999998</v>
          </cell>
        </row>
        <row r="835">
          <cell r="C835">
            <v>320283</v>
          </cell>
          <cell r="E835" t="str">
            <v>MXN</v>
          </cell>
          <cell r="F835">
            <v>-11727819.560000001</v>
          </cell>
          <cell r="G835">
            <v>41709444.219999999</v>
          </cell>
          <cell r="H835">
            <v>37559132.259999998</v>
          </cell>
          <cell r="I835">
            <v>-7577507.5999999996</v>
          </cell>
        </row>
        <row r="836">
          <cell r="C836">
            <v>320457</v>
          </cell>
          <cell r="E836" t="str">
            <v>MXN</v>
          </cell>
          <cell r="F836">
            <v>-12244798.039999999</v>
          </cell>
          <cell r="G836">
            <v>49276416.43</v>
          </cell>
          <cell r="H836">
            <v>47784063.960000001</v>
          </cell>
          <cell r="I836">
            <v>-10752445.57</v>
          </cell>
        </row>
        <row r="837">
          <cell r="C837">
            <v>320606</v>
          </cell>
          <cell r="E837" t="str">
            <v>MXN</v>
          </cell>
          <cell r="F837">
            <v>-4541723.49</v>
          </cell>
          <cell r="G837">
            <v>7812842.5499999998</v>
          </cell>
          <cell r="H837">
            <v>5594747.2400000002</v>
          </cell>
          <cell r="I837">
            <v>-2323628.1800000002</v>
          </cell>
        </row>
        <row r="838">
          <cell r="C838">
            <v>320671</v>
          </cell>
          <cell r="E838" t="str">
            <v>MXN</v>
          </cell>
          <cell r="F838">
            <v>-11215232.289999999</v>
          </cell>
          <cell r="G838">
            <v>59315930.409999996</v>
          </cell>
          <cell r="H838">
            <v>51557237.270000003</v>
          </cell>
          <cell r="I838">
            <v>-3456539.15</v>
          </cell>
        </row>
        <row r="839">
          <cell r="C839">
            <v>321141</v>
          </cell>
          <cell r="E839" t="str">
            <v>MXN</v>
          </cell>
          <cell r="F839">
            <v>-224766.35</v>
          </cell>
          <cell r="G839">
            <v>1020237.84</v>
          </cell>
          <cell r="H839">
            <v>1237350.1200000001</v>
          </cell>
          <cell r="I839">
            <v>-441878.63</v>
          </cell>
        </row>
        <row r="840">
          <cell r="C840">
            <v>321216</v>
          </cell>
          <cell r="E840" t="str">
            <v>MXN</v>
          </cell>
          <cell r="F840">
            <v>-2405468.79</v>
          </cell>
          <cell r="G840">
            <v>11809011.77</v>
          </cell>
          <cell r="H840">
            <v>9939608.5899999999</v>
          </cell>
          <cell r="I840">
            <v>-536065.61</v>
          </cell>
        </row>
        <row r="841">
          <cell r="C841">
            <v>321786</v>
          </cell>
          <cell r="E841" t="str">
            <v>MXN</v>
          </cell>
          <cell r="F841">
            <v>-5890507.96</v>
          </cell>
          <cell r="G841">
            <v>9851628.9299999997</v>
          </cell>
          <cell r="H841">
            <v>11161852.869999999</v>
          </cell>
          <cell r="I841">
            <v>-7200731.9000000004</v>
          </cell>
        </row>
        <row r="842">
          <cell r="C842">
            <v>321877</v>
          </cell>
          <cell r="E842" t="str">
            <v>MXN</v>
          </cell>
          <cell r="F842">
            <v>-27779854.239999998</v>
          </cell>
          <cell r="G842">
            <v>106545961.73</v>
          </cell>
          <cell r="H842">
            <v>98297388.219999999</v>
          </cell>
          <cell r="I842">
            <v>-19531280.73</v>
          </cell>
        </row>
        <row r="843">
          <cell r="C843">
            <v>322206</v>
          </cell>
          <cell r="E843" t="str">
            <v>MXN</v>
          </cell>
          <cell r="F843">
            <v>-3642987.18</v>
          </cell>
          <cell r="G843">
            <v>3838251.75</v>
          </cell>
          <cell r="H843">
            <v>3460889.91</v>
          </cell>
          <cell r="I843">
            <v>-3265625.34</v>
          </cell>
        </row>
        <row r="844">
          <cell r="C844">
            <v>322537</v>
          </cell>
          <cell r="E844" t="str">
            <v>MXN</v>
          </cell>
          <cell r="F844">
            <v>-60823332.259999998</v>
          </cell>
          <cell r="G844">
            <v>77918341.5</v>
          </cell>
          <cell r="H844">
            <v>76547586.280000001</v>
          </cell>
          <cell r="I844">
            <v>-59452577.039999999</v>
          </cell>
        </row>
        <row r="845">
          <cell r="C845">
            <v>322545</v>
          </cell>
          <cell r="E845" t="str">
            <v>MXN</v>
          </cell>
          <cell r="F845">
            <v>-38157829.539999999</v>
          </cell>
          <cell r="G845">
            <v>42132148.130000003</v>
          </cell>
          <cell r="H845">
            <v>19828304.219999999</v>
          </cell>
          <cell r="I845">
            <v>-15853985.630000001</v>
          </cell>
        </row>
        <row r="846">
          <cell r="C846">
            <v>322552</v>
          </cell>
          <cell r="E846" t="str">
            <v>MXN</v>
          </cell>
          <cell r="F846">
            <v>-26468447.940000001</v>
          </cell>
          <cell r="G846">
            <v>63821197.159999996</v>
          </cell>
          <cell r="H846">
            <v>91201861.299999997</v>
          </cell>
          <cell r="I846">
            <v>-53849112.079999998</v>
          </cell>
        </row>
        <row r="847">
          <cell r="C847">
            <v>322602</v>
          </cell>
          <cell r="E847" t="str">
            <v>MXN</v>
          </cell>
          <cell r="F847">
            <v>-16308875.26</v>
          </cell>
          <cell r="G847">
            <v>22164692.84</v>
          </cell>
          <cell r="H847">
            <v>14897760.24</v>
          </cell>
          <cell r="I847">
            <v>-9041942.6600000001</v>
          </cell>
        </row>
        <row r="848">
          <cell r="C848">
            <v>322784</v>
          </cell>
          <cell r="E848" t="str">
            <v>MXN</v>
          </cell>
          <cell r="F848">
            <v>16755.64</v>
          </cell>
          <cell r="G848">
            <v>548122.12</v>
          </cell>
          <cell r="H848">
            <v>602947.76</v>
          </cell>
          <cell r="I848">
            <v>-38070</v>
          </cell>
        </row>
        <row r="849">
          <cell r="C849">
            <v>323303</v>
          </cell>
          <cell r="E849" t="str">
            <v>MXN</v>
          </cell>
          <cell r="F849">
            <v>-6656806.3200000003</v>
          </cell>
          <cell r="G849">
            <v>7253729.1699999999</v>
          </cell>
          <cell r="H849">
            <v>7580154.75</v>
          </cell>
          <cell r="I849">
            <v>-6983231.9000000004</v>
          </cell>
        </row>
        <row r="850">
          <cell r="C850">
            <v>323618</v>
          </cell>
          <cell r="E850" t="str">
            <v>MXN</v>
          </cell>
          <cell r="F850">
            <v>-554194.31000000006</v>
          </cell>
          <cell r="G850">
            <v>2033911.41</v>
          </cell>
          <cell r="H850">
            <v>0</v>
          </cell>
          <cell r="I850">
            <v>1479717.1</v>
          </cell>
        </row>
        <row r="851">
          <cell r="C851">
            <v>323790</v>
          </cell>
          <cell r="E851" t="str">
            <v>MXN</v>
          </cell>
          <cell r="F851">
            <v>-81987838.680000007</v>
          </cell>
          <cell r="G851">
            <v>261364850.68000001</v>
          </cell>
          <cell r="H851">
            <v>320468511.04000002</v>
          </cell>
          <cell r="I851">
            <v>-141091499.03999999</v>
          </cell>
        </row>
        <row r="852">
          <cell r="C852">
            <v>324251</v>
          </cell>
          <cell r="E852" t="str">
            <v>MXN</v>
          </cell>
          <cell r="F852">
            <v>-1112314.8799999999</v>
          </cell>
          <cell r="G852">
            <v>1774202</v>
          </cell>
          <cell r="H852">
            <v>1538306.01</v>
          </cell>
          <cell r="I852">
            <v>-876418.89</v>
          </cell>
        </row>
        <row r="853">
          <cell r="C853">
            <v>324673</v>
          </cell>
          <cell r="E853" t="str">
            <v>MXN</v>
          </cell>
          <cell r="F853">
            <v>-8095271.6900000004</v>
          </cell>
          <cell r="G853">
            <v>45335469.170000002</v>
          </cell>
          <cell r="H853">
            <v>40669728.640000001</v>
          </cell>
          <cell r="I853">
            <v>-3429531.16</v>
          </cell>
        </row>
        <row r="854">
          <cell r="C854">
            <v>324780</v>
          </cell>
          <cell r="E854" t="str">
            <v>MXN</v>
          </cell>
          <cell r="F854">
            <v>-7271154.9699999997</v>
          </cell>
          <cell r="G854">
            <v>29043536.850000001</v>
          </cell>
          <cell r="H854">
            <v>23413039.09</v>
          </cell>
          <cell r="I854">
            <v>-1640657.21</v>
          </cell>
        </row>
        <row r="855">
          <cell r="C855">
            <v>325258</v>
          </cell>
          <cell r="E855" t="str">
            <v>MXN</v>
          </cell>
          <cell r="F855">
            <v>-16734006.91</v>
          </cell>
          <cell r="G855">
            <v>29403341.27</v>
          </cell>
          <cell r="H855">
            <v>28724277.399999999</v>
          </cell>
          <cell r="I855">
            <v>-16054943.039999999</v>
          </cell>
        </row>
        <row r="856">
          <cell r="C856">
            <v>325373</v>
          </cell>
          <cell r="E856" t="str">
            <v>MXN</v>
          </cell>
          <cell r="F856">
            <v>-9710166.7899999991</v>
          </cell>
          <cell r="G856">
            <v>22417223.449999999</v>
          </cell>
          <cell r="H856">
            <v>22313371.829999998</v>
          </cell>
          <cell r="I856">
            <v>-9606315.1699999999</v>
          </cell>
        </row>
        <row r="857">
          <cell r="C857">
            <v>325662</v>
          </cell>
          <cell r="E857" t="str">
            <v>MXN</v>
          </cell>
          <cell r="F857">
            <v>-67875560.959999993</v>
          </cell>
          <cell r="G857">
            <v>215904619.47</v>
          </cell>
          <cell r="H857">
            <v>294542049.44</v>
          </cell>
          <cell r="I857">
            <v>-146512990.93000001</v>
          </cell>
        </row>
        <row r="858">
          <cell r="C858">
            <v>325670</v>
          </cell>
          <cell r="E858" t="str">
            <v>MXN</v>
          </cell>
          <cell r="F858">
            <v>-96903318.439999998</v>
          </cell>
          <cell r="G858">
            <v>258500862.69999999</v>
          </cell>
          <cell r="H858">
            <v>322067821.08999997</v>
          </cell>
          <cell r="I858">
            <v>-160470276.83000001</v>
          </cell>
        </row>
        <row r="859">
          <cell r="C859">
            <v>325746</v>
          </cell>
          <cell r="E859" t="str">
            <v>MXN</v>
          </cell>
          <cell r="F859">
            <v>-9137588.8900000006</v>
          </cell>
          <cell r="G859">
            <v>54516479.770000003</v>
          </cell>
          <cell r="H859">
            <v>47019147.119999997</v>
          </cell>
          <cell r="I859">
            <v>-1640256.24</v>
          </cell>
        </row>
        <row r="860">
          <cell r="C860">
            <v>325803</v>
          </cell>
          <cell r="E860" t="str">
            <v>MXN</v>
          </cell>
          <cell r="F860">
            <v>-3851668.38</v>
          </cell>
          <cell r="G860">
            <v>10658596.02</v>
          </cell>
          <cell r="H860">
            <v>9400038.0800000001</v>
          </cell>
          <cell r="I860">
            <v>-2593110.44</v>
          </cell>
        </row>
        <row r="861">
          <cell r="C861">
            <v>325969</v>
          </cell>
          <cell r="E861" t="str">
            <v>MXN</v>
          </cell>
          <cell r="F861">
            <v>-331916.51</v>
          </cell>
          <cell r="G861">
            <v>359960.33</v>
          </cell>
          <cell r="H861">
            <v>652100.71</v>
          </cell>
          <cell r="I861">
            <v>-624056.89</v>
          </cell>
        </row>
        <row r="862">
          <cell r="C862">
            <v>326025</v>
          </cell>
          <cell r="E862" t="str">
            <v>MXN</v>
          </cell>
          <cell r="F862">
            <v>-4977892.97</v>
          </cell>
          <cell r="G862">
            <v>16625245.42</v>
          </cell>
          <cell r="H862">
            <v>13573037.689999999</v>
          </cell>
          <cell r="I862">
            <v>-1925685.24</v>
          </cell>
        </row>
        <row r="863">
          <cell r="C863">
            <v>326421</v>
          </cell>
          <cell r="E863" t="str">
            <v>MXN</v>
          </cell>
          <cell r="F863">
            <v>-259139.29</v>
          </cell>
          <cell r="G863">
            <v>1108558.29</v>
          </cell>
          <cell r="H863">
            <v>1077608.2</v>
          </cell>
          <cell r="I863">
            <v>-228189.2</v>
          </cell>
        </row>
        <row r="864">
          <cell r="C864">
            <v>326439</v>
          </cell>
          <cell r="E864" t="str">
            <v>MXN</v>
          </cell>
          <cell r="F864">
            <v>-14923935.27</v>
          </cell>
          <cell r="G864">
            <v>26312325.34</v>
          </cell>
          <cell r="H864">
            <v>20005130.030000001</v>
          </cell>
          <cell r="I864">
            <v>-8616739.9600000009</v>
          </cell>
        </row>
        <row r="865">
          <cell r="C865">
            <v>326603</v>
          </cell>
          <cell r="E865" t="str">
            <v>MXN</v>
          </cell>
          <cell r="F865">
            <v>-15670512.199999999</v>
          </cell>
          <cell r="G865">
            <v>24076842.600000001</v>
          </cell>
          <cell r="H865">
            <v>14913570.48</v>
          </cell>
          <cell r="I865">
            <v>-6507240.0800000001</v>
          </cell>
        </row>
        <row r="866">
          <cell r="C866">
            <v>326629</v>
          </cell>
          <cell r="E866" t="str">
            <v>MXN</v>
          </cell>
          <cell r="F866">
            <v>-103680141.84999999</v>
          </cell>
          <cell r="G866">
            <v>147847112.16</v>
          </cell>
          <cell r="H866">
            <v>159967353.72999999</v>
          </cell>
          <cell r="I866">
            <v>-115800383.42</v>
          </cell>
        </row>
        <row r="867">
          <cell r="C867">
            <v>326637</v>
          </cell>
          <cell r="E867" t="str">
            <v>MXN</v>
          </cell>
          <cell r="F867">
            <v>-1023829.68</v>
          </cell>
          <cell r="G867">
            <v>2133449.2200000002</v>
          </cell>
          <cell r="H867">
            <v>1109619.54</v>
          </cell>
          <cell r="I867">
            <v>0</v>
          </cell>
        </row>
        <row r="868">
          <cell r="C868">
            <v>327049</v>
          </cell>
          <cell r="E868" t="str">
            <v>MXN</v>
          </cell>
          <cell r="F868">
            <v>-336227.66</v>
          </cell>
          <cell r="G868">
            <v>897549.45</v>
          </cell>
          <cell r="H868">
            <v>561321.79</v>
          </cell>
          <cell r="I868">
            <v>0</v>
          </cell>
        </row>
        <row r="869">
          <cell r="C869">
            <v>327080</v>
          </cell>
          <cell r="E869" t="str">
            <v>MXN</v>
          </cell>
          <cell r="F869">
            <v>-5314462.46</v>
          </cell>
          <cell r="G869">
            <v>13893477.039999999</v>
          </cell>
          <cell r="H869">
            <v>13781280.279999999</v>
          </cell>
          <cell r="I869">
            <v>-5202265.7</v>
          </cell>
        </row>
        <row r="870">
          <cell r="C870">
            <v>327148</v>
          </cell>
          <cell r="E870" t="str">
            <v>MXN</v>
          </cell>
          <cell r="F870">
            <v>-29497812.850000001</v>
          </cell>
          <cell r="G870">
            <v>39715882.810000002</v>
          </cell>
          <cell r="H870">
            <v>11529472.539999999</v>
          </cell>
          <cell r="I870">
            <v>-1311402.58</v>
          </cell>
        </row>
        <row r="871">
          <cell r="C871">
            <v>327197</v>
          </cell>
          <cell r="E871" t="str">
            <v>MXN</v>
          </cell>
          <cell r="F871">
            <v>-37437181.130000003</v>
          </cell>
          <cell r="G871">
            <v>62336732.409999996</v>
          </cell>
          <cell r="H871">
            <v>63973902.450000003</v>
          </cell>
          <cell r="I871">
            <v>-39074351.170000002</v>
          </cell>
        </row>
        <row r="872">
          <cell r="C872">
            <v>327429</v>
          </cell>
          <cell r="E872" t="str">
            <v>MXN</v>
          </cell>
          <cell r="F872">
            <v>-2847079.58</v>
          </cell>
          <cell r="G872">
            <v>7013016.7599999998</v>
          </cell>
          <cell r="H872">
            <v>7704731.1699999999</v>
          </cell>
          <cell r="I872">
            <v>-3538793.99</v>
          </cell>
        </row>
        <row r="873">
          <cell r="C873">
            <v>327460</v>
          </cell>
          <cell r="E873" t="str">
            <v>MXN</v>
          </cell>
          <cell r="F873">
            <v>-5746651.0599999996</v>
          </cell>
          <cell r="G873">
            <v>15274958.57</v>
          </cell>
          <cell r="H873">
            <v>13695943.92</v>
          </cell>
          <cell r="I873">
            <v>-4167636.41</v>
          </cell>
        </row>
        <row r="874">
          <cell r="C874">
            <v>327775</v>
          </cell>
          <cell r="E874" t="str">
            <v>MXN</v>
          </cell>
          <cell r="F874">
            <v>-247638.96</v>
          </cell>
          <cell r="G874">
            <v>665870.44999999995</v>
          </cell>
          <cell r="H874">
            <v>528374.1</v>
          </cell>
          <cell r="I874">
            <v>-110142.61</v>
          </cell>
        </row>
        <row r="875">
          <cell r="C875">
            <v>328583</v>
          </cell>
          <cell r="E875" t="str">
            <v>MXN</v>
          </cell>
          <cell r="F875">
            <v>-8427131.7400000002</v>
          </cell>
          <cell r="G875">
            <v>23001032.370000001</v>
          </cell>
          <cell r="H875">
            <v>18469549.25</v>
          </cell>
          <cell r="I875">
            <v>-3895648.62</v>
          </cell>
        </row>
        <row r="876">
          <cell r="C876">
            <v>328658</v>
          </cell>
          <cell r="E876" t="str">
            <v>MXN</v>
          </cell>
          <cell r="F876">
            <v>-85182.07</v>
          </cell>
          <cell r="G876">
            <v>811124.85</v>
          </cell>
          <cell r="H876">
            <v>971861.86</v>
          </cell>
          <cell r="I876">
            <v>-245919.08</v>
          </cell>
        </row>
        <row r="877">
          <cell r="C877">
            <v>328724</v>
          </cell>
          <cell r="E877" t="str">
            <v>MXN</v>
          </cell>
          <cell r="F877">
            <v>-5701794.3300000001</v>
          </cell>
          <cell r="G877">
            <v>12624927.720000001</v>
          </cell>
          <cell r="H877">
            <v>17758158.239999998</v>
          </cell>
          <cell r="I877">
            <v>-10835024.85</v>
          </cell>
        </row>
        <row r="878">
          <cell r="C878">
            <v>329417</v>
          </cell>
          <cell r="E878" t="str">
            <v>MXN</v>
          </cell>
          <cell r="F878">
            <v>-10925836.16</v>
          </cell>
          <cell r="G878">
            <v>37600262.390000001</v>
          </cell>
          <cell r="H878">
            <v>33190958.100000001</v>
          </cell>
          <cell r="I878">
            <v>-6516531.8700000001</v>
          </cell>
        </row>
        <row r="879">
          <cell r="C879">
            <v>329540</v>
          </cell>
          <cell r="E879" t="str">
            <v>MXN</v>
          </cell>
          <cell r="F879">
            <v>-871666.74</v>
          </cell>
          <cell r="G879">
            <v>6490058.8799999999</v>
          </cell>
          <cell r="H879">
            <v>10915688.33</v>
          </cell>
          <cell r="I879">
            <v>-5297296.1900000004</v>
          </cell>
        </row>
        <row r="880">
          <cell r="C880">
            <v>329680</v>
          </cell>
          <cell r="E880" t="str">
            <v>MXN</v>
          </cell>
          <cell r="F880">
            <v>-543147.73</v>
          </cell>
          <cell r="G880">
            <v>881718.95</v>
          </cell>
          <cell r="H880">
            <v>729658.02</v>
          </cell>
          <cell r="I880">
            <v>-391086.8</v>
          </cell>
        </row>
        <row r="881">
          <cell r="C881">
            <v>329763</v>
          </cell>
          <cell r="E881" t="str">
            <v>MXN</v>
          </cell>
          <cell r="F881">
            <v>-2605285.56</v>
          </cell>
          <cell r="G881">
            <v>7080058.2800000003</v>
          </cell>
          <cell r="H881">
            <v>6182349.2300000004</v>
          </cell>
          <cell r="I881">
            <v>-1707576.51</v>
          </cell>
        </row>
        <row r="882">
          <cell r="C882">
            <v>331041</v>
          </cell>
          <cell r="E882" t="str">
            <v>MXN</v>
          </cell>
          <cell r="F882">
            <v>-5209229.59</v>
          </cell>
          <cell r="G882">
            <v>21084571.460000001</v>
          </cell>
          <cell r="H882">
            <v>19470003.949999999</v>
          </cell>
          <cell r="I882">
            <v>-3594662.08</v>
          </cell>
        </row>
        <row r="883">
          <cell r="C883">
            <v>331215</v>
          </cell>
          <cell r="E883" t="str">
            <v>MXN</v>
          </cell>
          <cell r="F883">
            <v>-21080056.18</v>
          </cell>
          <cell r="G883">
            <v>95104201.030000001</v>
          </cell>
          <cell r="H883">
            <v>85887602.150000006</v>
          </cell>
          <cell r="I883">
            <v>-11863457.300000001</v>
          </cell>
        </row>
        <row r="884">
          <cell r="C884">
            <v>332114</v>
          </cell>
          <cell r="E884" t="str">
            <v>MXN</v>
          </cell>
          <cell r="F884">
            <v>-99523.02</v>
          </cell>
          <cell r="G884">
            <v>470024.11</v>
          </cell>
          <cell r="H884">
            <v>487971.27</v>
          </cell>
          <cell r="I884">
            <v>-117470.18</v>
          </cell>
        </row>
        <row r="885">
          <cell r="C885">
            <v>332155</v>
          </cell>
          <cell r="E885" t="str">
            <v>MXN</v>
          </cell>
          <cell r="F885">
            <v>-1758558.89</v>
          </cell>
          <cell r="G885">
            <v>8460009.9700000007</v>
          </cell>
          <cell r="H885">
            <v>9653492.8100000005</v>
          </cell>
          <cell r="I885">
            <v>-2952041.73</v>
          </cell>
        </row>
        <row r="886">
          <cell r="C886">
            <v>332296</v>
          </cell>
          <cell r="E886" t="str">
            <v>MXN</v>
          </cell>
          <cell r="F886">
            <v>-2184602.2999999998</v>
          </cell>
          <cell r="G886">
            <v>6812372.5700000003</v>
          </cell>
          <cell r="H886">
            <v>6453517.1299999999</v>
          </cell>
          <cell r="I886">
            <v>-1825746.86</v>
          </cell>
        </row>
        <row r="887">
          <cell r="C887">
            <v>332692</v>
          </cell>
          <cell r="E887" t="str">
            <v>MXN</v>
          </cell>
          <cell r="F887">
            <v>-9207590.4900000002</v>
          </cell>
          <cell r="G887">
            <v>35040290.390000001</v>
          </cell>
          <cell r="H887">
            <v>30477478.190000001</v>
          </cell>
          <cell r="I887">
            <v>-4644778.29</v>
          </cell>
        </row>
        <row r="888">
          <cell r="C888">
            <v>332866</v>
          </cell>
          <cell r="E888" t="str">
            <v>MXN</v>
          </cell>
          <cell r="F888">
            <v>-3410357.19</v>
          </cell>
          <cell r="G888">
            <v>11625133.17</v>
          </cell>
          <cell r="H888">
            <v>10981528.439999999</v>
          </cell>
          <cell r="I888">
            <v>-2766752.46</v>
          </cell>
        </row>
        <row r="889">
          <cell r="C889">
            <v>333104</v>
          </cell>
          <cell r="E889" t="str">
            <v>MXN</v>
          </cell>
          <cell r="F889">
            <v>-13005732.07</v>
          </cell>
          <cell r="G889">
            <v>42850945.979999997</v>
          </cell>
          <cell r="H889">
            <v>31737823.34</v>
          </cell>
          <cell r="I889">
            <v>-1892609.43</v>
          </cell>
        </row>
        <row r="890">
          <cell r="C890">
            <v>334078</v>
          </cell>
          <cell r="E890" t="str">
            <v>MXN</v>
          </cell>
          <cell r="F890">
            <v>-2788228.47</v>
          </cell>
          <cell r="G890">
            <v>9299880.5899999999</v>
          </cell>
          <cell r="H890">
            <v>6549259.7599999998</v>
          </cell>
          <cell r="I890">
            <v>-37607.64</v>
          </cell>
        </row>
        <row r="891">
          <cell r="C891">
            <v>334185</v>
          </cell>
          <cell r="E891" t="str">
            <v>MXN</v>
          </cell>
          <cell r="F891">
            <v>-466078.11</v>
          </cell>
          <cell r="G891">
            <v>933606.87</v>
          </cell>
          <cell r="H891">
            <v>1078896.42</v>
          </cell>
          <cell r="I891">
            <v>-611367.66</v>
          </cell>
        </row>
        <row r="892">
          <cell r="C892">
            <v>335240</v>
          </cell>
          <cell r="E892" t="str">
            <v>MXN</v>
          </cell>
          <cell r="F892">
            <v>-370884.43</v>
          </cell>
          <cell r="G892">
            <v>540387.32999999996</v>
          </cell>
          <cell r="H892">
            <v>672906.17</v>
          </cell>
          <cell r="I892">
            <v>-503403.27</v>
          </cell>
        </row>
        <row r="893">
          <cell r="C893">
            <v>335307</v>
          </cell>
          <cell r="E893" t="str">
            <v>MXN</v>
          </cell>
          <cell r="F893">
            <v>-2107907.2599999998</v>
          </cell>
          <cell r="G893">
            <v>6241739.5499999998</v>
          </cell>
          <cell r="H893">
            <v>6560868.8499999996</v>
          </cell>
          <cell r="I893">
            <v>-2427036.56</v>
          </cell>
        </row>
        <row r="894">
          <cell r="C894">
            <v>336370</v>
          </cell>
          <cell r="E894" t="str">
            <v>MXN</v>
          </cell>
          <cell r="F894">
            <v>-4524928.58</v>
          </cell>
          <cell r="G894">
            <v>11763251.07</v>
          </cell>
          <cell r="H894">
            <v>8276453.46</v>
          </cell>
          <cell r="I894">
            <v>-1038130.97</v>
          </cell>
        </row>
        <row r="895">
          <cell r="C895">
            <v>336917</v>
          </cell>
          <cell r="E895" t="str">
            <v>MXN</v>
          </cell>
          <cell r="F895">
            <v>-6393145.9900000002</v>
          </cell>
          <cell r="G895">
            <v>29684421.359999999</v>
          </cell>
          <cell r="H895">
            <v>27644853.289999999</v>
          </cell>
          <cell r="I895">
            <v>-4353577.92</v>
          </cell>
        </row>
        <row r="896">
          <cell r="C896">
            <v>337956</v>
          </cell>
          <cell r="E896" t="str">
            <v>MXN</v>
          </cell>
          <cell r="F896">
            <v>-3903276.2</v>
          </cell>
          <cell r="G896">
            <v>12106751.789999999</v>
          </cell>
          <cell r="H896">
            <v>9144372.7599999998</v>
          </cell>
          <cell r="I896">
            <v>-940897.17</v>
          </cell>
        </row>
        <row r="897">
          <cell r="C897">
            <v>339358</v>
          </cell>
          <cell r="E897" t="str">
            <v>MXN</v>
          </cell>
          <cell r="F897">
            <v>-4360000.5199999996</v>
          </cell>
          <cell r="G897">
            <v>23488090.690000001</v>
          </cell>
          <cell r="H897">
            <v>20970649.539999999</v>
          </cell>
          <cell r="I897">
            <v>-1842559.37</v>
          </cell>
        </row>
        <row r="898">
          <cell r="C898">
            <v>339457</v>
          </cell>
          <cell r="E898" t="str">
            <v>MXN</v>
          </cell>
          <cell r="F898">
            <v>-44302798.310000002</v>
          </cell>
          <cell r="G898">
            <v>86530733.599999994</v>
          </cell>
          <cell r="H898">
            <v>93708141.890000001</v>
          </cell>
          <cell r="I898">
            <v>-51480206.600000001</v>
          </cell>
        </row>
        <row r="899">
          <cell r="C899">
            <v>339564</v>
          </cell>
          <cell r="E899" t="str">
            <v>MXN</v>
          </cell>
          <cell r="F899">
            <v>-18327028.460000001</v>
          </cell>
          <cell r="G899">
            <v>24901297.77</v>
          </cell>
          <cell r="H899">
            <v>36367681.75</v>
          </cell>
          <cell r="I899">
            <v>-29793412.440000001</v>
          </cell>
        </row>
        <row r="900">
          <cell r="C900">
            <v>339960</v>
          </cell>
          <cell r="E900" t="str">
            <v>MXN</v>
          </cell>
          <cell r="F900">
            <v>-7548498.2699999996</v>
          </cell>
          <cell r="G900">
            <v>24567465.989999998</v>
          </cell>
          <cell r="H900">
            <v>27553077.239999998</v>
          </cell>
          <cell r="I900">
            <v>-10534109.52</v>
          </cell>
        </row>
        <row r="901">
          <cell r="C901">
            <v>340182</v>
          </cell>
          <cell r="E901" t="str">
            <v>MXN</v>
          </cell>
          <cell r="F901">
            <v>-10259105.4</v>
          </cell>
          <cell r="G901">
            <v>43646374.520000003</v>
          </cell>
          <cell r="H901">
            <v>41982524.640000001</v>
          </cell>
          <cell r="I901">
            <v>-8595255.5199999996</v>
          </cell>
        </row>
        <row r="902">
          <cell r="C902">
            <v>341255</v>
          </cell>
          <cell r="E902" t="str">
            <v>MXN</v>
          </cell>
          <cell r="F902">
            <v>-11495442.470000001</v>
          </cell>
          <cell r="G902">
            <v>33421106.809999999</v>
          </cell>
          <cell r="H902">
            <v>25677201.949999999</v>
          </cell>
          <cell r="I902">
            <v>-3751537.61</v>
          </cell>
        </row>
        <row r="903">
          <cell r="C903">
            <v>341784</v>
          </cell>
          <cell r="E903" t="str">
            <v>MXN</v>
          </cell>
          <cell r="F903">
            <v>-307527.88</v>
          </cell>
          <cell r="G903">
            <v>3124735.64</v>
          </cell>
          <cell r="H903">
            <v>3547013.78</v>
          </cell>
          <cell r="I903">
            <v>-729806.02</v>
          </cell>
        </row>
        <row r="904">
          <cell r="C904">
            <v>342295</v>
          </cell>
          <cell r="E904" t="str">
            <v>MXN</v>
          </cell>
          <cell r="F904">
            <v>-5048976.41</v>
          </cell>
          <cell r="G904">
            <v>13613220.949999999</v>
          </cell>
          <cell r="H904">
            <v>12484224.210000001</v>
          </cell>
          <cell r="I904">
            <v>-3919979.67</v>
          </cell>
        </row>
        <row r="905">
          <cell r="C905">
            <v>342584</v>
          </cell>
          <cell r="E905" t="str">
            <v>MXN</v>
          </cell>
          <cell r="F905">
            <v>-3679551.17</v>
          </cell>
          <cell r="G905">
            <v>11177762.130000001</v>
          </cell>
          <cell r="H905">
            <v>9225026.9499999993</v>
          </cell>
          <cell r="I905">
            <v>-1726815.99</v>
          </cell>
        </row>
        <row r="906">
          <cell r="C906">
            <v>342899</v>
          </cell>
          <cell r="E906" t="str">
            <v>MXN</v>
          </cell>
          <cell r="F906">
            <v>-7220522.5999999996</v>
          </cell>
          <cell r="G906">
            <v>27399429.920000002</v>
          </cell>
          <cell r="H906">
            <v>24792607.699999999</v>
          </cell>
          <cell r="I906">
            <v>-4613700.38</v>
          </cell>
        </row>
        <row r="907">
          <cell r="C907">
            <v>342907</v>
          </cell>
          <cell r="E907" t="str">
            <v>MXN</v>
          </cell>
          <cell r="F907">
            <v>-37742058.270000003</v>
          </cell>
          <cell r="G907">
            <v>66715535.170000002</v>
          </cell>
          <cell r="H907">
            <v>37513117.130000003</v>
          </cell>
          <cell r="I907">
            <v>-8539640.2300000004</v>
          </cell>
        </row>
        <row r="908">
          <cell r="C908">
            <v>343038</v>
          </cell>
          <cell r="E908" t="str">
            <v>MXN</v>
          </cell>
          <cell r="F908">
            <v>-3792050.89</v>
          </cell>
          <cell r="G908">
            <v>16129825.99</v>
          </cell>
          <cell r="H908">
            <v>15931497.67</v>
          </cell>
          <cell r="I908">
            <v>-3593722.57</v>
          </cell>
        </row>
        <row r="909">
          <cell r="C909">
            <v>343657</v>
          </cell>
          <cell r="E909" t="str">
            <v>MXN</v>
          </cell>
          <cell r="F909">
            <v>-29005959.27</v>
          </cell>
          <cell r="G909">
            <v>39441582.789999999</v>
          </cell>
          <cell r="H909">
            <v>23069397.920000002</v>
          </cell>
          <cell r="I909">
            <v>-12633774.4</v>
          </cell>
        </row>
        <row r="910">
          <cell r="C910">
            <v>344150</v>
          </cell>
          <cell r="E910" t="str">
            <v>MXN</v>
          </cell>
          <cell r="F910">
            <v>-2255783.11</v>
          </cell>
          <cell r="G910">
            <v>7421258.7800000003</v>
          </cell>
          <cell r="H910">
            <v>10836680.75</v>
          </cell>
          <cell r="I910">
            <v>-5671205.0800000001</v>
          </cell>
        </row>
        <row r="911">
          <cell r="C911">
            <v>345983</v>
          </cell>
          <cell r="E911" t="str">
            <v>MXN</v>
          </cell>
          <cell r="F911">
            <v>-1184476.1200000001</v>
          </cell>
          <cell r="G911">
            <v>3027618.97</v>
          </cell>
          <cell r="H911">
            <v>2518224.7400000002</v>
          </cell>
          <cell r="I911">
            <v>-675081.89</v>
          </cell>
        </row>
        <row r="912">
          <cell r="C912">
            <v>346361</v>
          </cell>
          <cell r="E912" t="str">
            <v>MXN</v>
          </cell>
          <cell r="F912">
            <v>-29787419.789999999</v>
          </cell>
          <cell r="G912">
            <v>110152729.8</v>
          </cell>
          <cell r="H912">
            <v>97732025.25</v>
          </cell>
          <cell r="I912">
            <v>-17366715.239999998</v>
          </cell>
        </row>
        <row r="913">
          <cell r="C913">
            <v>348557</v>
          </cell>
          <cell r="E913" t="str">
            <v>MXN</v>
          </cell>
          <cell r="F913">
            <v>-13182864.93</v>
          </cell>
          <cell r="G913">
            <v>27064630.809999999</v>
          </cell>
          <cell r="H913">
            <v>27348416.25</v>
          </cell>
          <cell r="I913">
            <v>-13466650.369999999</v>
          </cell>
        </row>
        <row r="914">
          <cell r="C914">
            <v>348847</v>
          </cell>
          <cell r="E914" t="str">
            <v>MXN</v>
          </cell>
          <cell r="F914">
            <v>-441339.87</v>
          </cell>
          <cell r="G914">
            <v>941280.22</v>
          </cell>
          <cell r="H914">
            <v>780633.88</v>
          </cell>
          <cell r="I914">
            <v>-280693.53000000003</v>
          </cell>
        </row>
        <row r="915">
          <cell r="C915">
            <v>349019</v>
          </cell>
          <cell r="E915" t="str">
            <v>MXN</v>
          </cell>
          <cell r="F915">
            <v>-2548502.75</v>
          </cell>
          <cell r="G915">
            <v>5636391.1900000004</v>
          </cell>
          <cell r="H915">
            <v>4801449.84</v>
          </cell>
          <cell r="I915">
            <v>-1713561.4</v>
          </cell>
        </row>
        <row r="916">
          <cell r="C916">
            <v>373852</v>
          </cell>
          <cell r="E916" t="str">
            <v>MXN</v>
          </cell>
          <cell r="F916">
            <v>-858427.96</v>
          </cell>
          <cell r="G916">
            <v>4338552.4400000004</v>
          </cell>
          <cell r="H916">
            <v>4420169.9400000004</v>
          </cell>
          <cell r="I916">
            <v>-940045.46</v>
          </cell>
        </row>
        <row r="917">
          <cell r="C917">
            <v>373894</v>
          </cell>
          <cell r="E917" t="str">
            <v>MXN</v>
          </cell>
          <cell r="F917">
            <v>-7132814.2699999996</v>
          </cell>
          <cell r="G917">
            <v>11908121.33</v>
          </cell>
          <cell r="H917">
            <v>13359747.279999999</v>
          </cell>
          <cell r="I917">
            <v>-8584440.2200000007</v>
          </cell>
        </row>
        <row r="918">
          <cell r="C918">
            <v>374140</v>
          </cell>
          <cell r="E918" t="str">
            <v>MXN</v>
          </cell>
          <cell r="F918">
            <v>-978390.96</v>
          </cell>
          <cell r="G918">
            <v>975290.57</v>
          </cell>
          <cell r="H918">
            <v>0</v>
          </cell>
          <cell r="I918">
            <v>-3100.39</v>
          </cell>
        </row>
        <row r="919">
          <cell r="C919">
            <v>374645</v>
          </cell>
          <cell r="E919" t="str">
            <v>MXN</v>
          </cell>
          <cell r="F919">
            <v>-54151.14</v>
          </cell>
          <cell r="G919">
            <v>533476.44999999995</v>
          </cell>
          <cell r="H919">
            <v>1228449</v>
          </cell>
          <cell r="I919">
            <v>-749123.69</v>
          </cell>
        </row>
        <row r="920">
          <cell r="C920">
            <v>377242</v>
          </cell>
          <cell r="E920" t="str">
            <v>MXN</v>
          </cell>
          <cell r="F920">
            <v>-3112287.63</v>
          </cell>
          <cell r="G920">
            <v>6805209.9699999997</v>
          </cell>
          <cell r="H920">
            <v>6221675.3499999996</v>
          </cell>
          <cell r="I920">
            <v>-2528753.0099999998</v>
          </cell>
        </row>
        <row r="921">
          <cell r="C921">
            <v>377317</v>
          </cell>
          <cell r="E921" t="str">
            <v>MXN</v>
          </cell>
          <cell r="F921">
            <v>-95366838.959999993</v>
          </cell>
          <cell r="G921">
            <v>186849340.63999999</v>
          </cell>
          <cell r="H921">
            <v>129639530.66</v>
          </cell>
          <cell r="I921">
            <v>-38157028.979999997</v>
          </cell>
        </row>
        <row r="922">
          <cell r="C922">
            <v>377929</v>
          </cell>
          <cell r="E922" t="str">
            <v>MXN</v>
          </cell>
          <cell r="F922">
            <v>-4155852.86</v>
          </cell>
          <cell r="G922">
            <v>6386021.5599999996</v>
          </cell>
          <cell r="H922">
            <v>5225426.6399999997</v>
          </cell>
          <cell r="I922">
            <v>-2995257.94</v>
          </cell>
        </row>
        <row r="923">
          <cell r="C923">
            <v>378562</v>
          </cell>
          <cell r="E923" t="str">
            <v>MXN</v>
          </cell>
          <cell r="F923">
            <v>-5899785.1600000001</v>
          </cell>
          <cell r="G923">
            <v>6884390.75</v>
          </cell>
          <cell r="H923">
            <v>984605.59</v>
          </cell>
          <cell r="I923">
            <v>0</v>
          </cell>
        </row>
        <row r="924">
          <cell r="C924">
            <v>379495</v>
          </cell>
          <cell r="E924" t="str">
            <v>MXN</v>
          </cell>
          <cell r="F924">
            <v>-20376688.059999999</v>
          </cell>
          <cell r="G924">
            <v>93478941.219999999</v>
          </cell>
          <cell r="H924">
            <v>80750632.739999995</v>
          </cell>
          <cell r="I924">
            <v>-7648379.5800000001</v>
          </cell>
        </row>
        <row r="925">
          <cell r="C925">
            <v>379610</v>
          </cell>
          <cell r="E925" t="str">
            <v>MXN</v>
          </cell>
          <cell r="F925">
            <v>-3659695.22</v>
          </cell>
          <cell r="G925">
            <v>14748407.800000001</v>
          </cell>
          <cell r="H925">
            <v>15846555.85</v>
          </cell>
          <cell r="I925">
            <v>-4757843.2699999996</v>
          </cell>
        </row>
        <row r="926">
          <cell r="C926">
            <v>379719</v>
          </cell>
          <cell r="E926" t="str">
            <v>MXN</v>
          </cell>
          <cell r="F926">
            <v>-23190635.739999998</v>
          </cell>
          <cell r="G926">
            <v>44401159.390000001</v>
          </cell>
          <cell r="H926">
            <v>25217353.140000001</v>
          </cell>
          <cell r="I926">
            <v>-4006829.49</v>
          </cell>
        </row>
        <row r="927">
          <cell r="C927">
            <v>380204</v>
          </cell>
          <cell r="E927" t="str">
            <v>MXN</v>
          </cell>
          <cell r="F927">
            <v>-8124128.25</v>
          </cell>
          <cell r="G927">
            <v>9498749.2200000007</v>
          </cell>
          <cell r="H927">
            <v>13175718.890000001</v>
          </cell>
          <cell r="I927">
            <v>-11801097.92</v>
          </cell>
        </row>
        <row r="928">
          <cell r="C928">
            <v>380774</v>
          </cell>
          <cell r="E928" t="str">
            <v>MXN</v>
          </cell>
          <cell r="F928">
            <v>-5529685.5599999996</v>
          </cell>
          <cell r="G928">
            <v>15572093.119999999</v>
          </cell>
          <cell r="H928">
            <v>10473625.41</v>
          </cell>
          <cell r="I928">
            <v>-431217.85</v>
          </cell>
        </row>
        <row r="929">
          <cell r="C929">
            <v>380832</v>
          </cell>
          <cell r="E929" t="str">
            <v>MXN</v>
          </cell>
          <cell r="F929">
            <v>-9000839.8800000008</v>
          </cell>
          <cell r="G929">
            <v>58001043.18</v>
          </cell>
          <cell r="H929">
            <v>52384416.530000001</v>
          </cell>
          <cell r="I929">
            <v>-3384213.23</v>
          </cell>
        </row>
        <row r="930">
          <cell r="C930">
            <v>380857</v>
          </cell>
          <cell r="E930" t="str">
            <v>MXN</v>
          </cell>
          <cell r="F930">
            <v>-9766136.6099999994</v>
          </cell>
          <cell r="G930">
            <v>23950601.010000002</v>
          </cell>
          <cell r="H930">
            <v>19657277.579999998</v>
          </cell>
          <cell r="I930">
            <v>-5472813.1799999997</v>
          </cell>
        </row>
        <row r="931">
          <cell r="C931">
            <v>381087</v>
          </cell>
          <cell r="E931" t="str">
            <v>MXN</v>
          </cell>
          <cell r="F931">
            <v>-8483673.4900000002</v>
          </cell>
          <cell r="G931">
            <v>47792045.729999997</v>
          </cell>
          <cell r="H931">
            <v>50573990.890000001</v>
          </cell>
          <cell r="I931">
            <v>-11265618.65</v>
          </cell>
        </row>
        <row r="932">
          <cell r="C932">
            <v>381129</v>
          </cell>
          <cell r="E932" t="str">
            <v>MXN</v>
          </cell>
          <cell r="F932">
            <v>-6963642.5700000003</v>
          </cell>
          <cell r="G932">
            <v>23195982.370000001</v>
          </cell>
          <cell r="H932">
            <v>25742037.84</v>
          </cell>
          <cell r="I932">
            <v>-9509698.0399999991</v>
          </cell>
        </row>
        <row r="933">
          <cell r="C933">
            <v>381202</v>
          </cell>
          <cell r="E933" t="str">
            <v>MXN</v>
          </cell>
          <cell r="F933">
            <v>-8065942.9299999997</v>
          </cell>
          <cell r="G933">
            <v>10638174.720000001</v>
          </cell>
          <cell r="H933">
            <v>5640715.1799999997</v>
          </cell>
          <cell r="I933">
            <v>-3068483.39</v>
          </cell>
        </row>
        <row r="934">
          <cell r="C934">
            <v>381418</v>
          </cell>
          <cell r="E934" t="str">
            <v>MXN</v>
          </cell>
          <cell r="F934">
            <v>-2206845.67</v>
          </cell>
          <cell r="G934">
            <v>11326016.960000001</v>
          </cell>
          <cell r="H934">
            <v>10864132.4</v>
          </cell>
          <cell r="I934">
            <v>-1744961.11</v>
          </cell>
        </row>
        <row r="935">
          <cell r="C935">
            <v>381467</v>
          </cell>
          <cell r="E935" t="str">
            <v>MXN</v>
          </cell>
          <cell r="F935">
            <v>-12260549.529999999</v>
          </cell>
          <cell r="G935">
            <v>21529020.300000001</v>
          </cell>
          <cell r="H935">
            <v>12130251.91</v>
          </cell>
          <cell r="I935">
            <v>-2861781.14</v>
          </cell>
        </row>
        <row r="936">
          <cell r="C936">
            <v>381632</v>
          </cell>
          <cell r="E936" t="str">
            <v>MXN</v>
          </cell>
          <cell r="F936">
            <v>-8820862.8399999999</v>
          </cell>
          <cell r="G936">
            <v>23092144.149999999</v>
          </cell>
          <cell r="H936">
            <v>21283978.649999999</v>
          </cell>
          <cell r="I936">
            <v>-7012697.3399999999</v>
          </cell>
        </row>
        <row r="937">
          <cell r="C937">
            <v>381970</v>
          </cell>
          <cell r="E937" t="str">
            <v>MXN</v>
          </cell>
          <cell r="F937">
            <v>-215740202.68000001</v>
          </cell>
          <cell r="G937">
            <v>631757766.24000001</v>
          </cell>
          <cell r="H937">
            <v>631839704.37</v>
          </cell>
          <cell r="I937">
            <v>-215822140.81</v>
          </cell>
        </row>
        <row r="938">
          <cell r="C938">
            <v>382119</v>
          </cell>
          <cell r="E938" t="str">
            <v>MXN</v>
          </cell>
          <cell r="F938">
            <v>-34068274.75</v>
          </cell>
          <cell r="G938">
            <v>94678789.950000003</v>
          </cell>
          <cell r="H938">
            <v>87584530.560000002</v>
          </cell>
          <cell r="I938">
            <v>-26974015.359999999</v>
          </cell>
        </row>
        <row r="939">
          <cell r="C939">
            <v>382523</v>
          </cell>
          <cell r="E939" t="str">
            <v>MXN</v>
          </cell>
          <cell r="F939">
            <v>-58191408.719999999</v>
          </cell>
          <cell r="G939">
            <v>98164199.189999998</v>
          </cell>
          <cell r="H939">
            <v>63036513.130000003</v>
          </cell>
          <cell r="I939">
            <v>-23063722.66</v>
          </cell>
        </row>
        <row r="940">
          <cell r="C940">
            <v>382689</v>
          </cell>
          <cell r="E940" t="str">
            <v>MXN</v>
          </cell>
          <cell r="F940">
            <v>-58187797.170000002</v>
          </cell>
          <cell r="G940">
            <v>71082597.349999994</v>
          </cell>
          <cell r="H940">
            <v>16407814.699999999</v>
          </cell>
          <cell r="I940">
            <v>-3513014.52</v>
          </cell>
        </row>
        <row r="941">
          <cell r="C941">
            <v>383265</v>
          </cell>
          <cell r="E941" t="str">
            <v>MXN</v>
          </cell>
          <cell r="F941">
            <v>-975179.28</v>
          </cell>
          <cell r="G941">
            <v>3682691.53</v>
          </cell>
          <cell r="H941">
            <v>5289336.8899999997</v>
          </cell>
          <cell r="I941">
            <v>-2581824.64</v>
          </cell>
        </row>
        <row r="942">
          <cell r="C942">
            <v>383349</v>
          </cell>
          <cell r="E942" t="str">
            <v>MXN</v>
          </cell>
          <cell r="F942">
            <v>-5856585.0800000001</v>
          </cell>
          <cell r="G942">
            <v>8514424.3100000005</v>
          </cell>
          <cell r="H942">
            <v>1481407.58</v>
          </cell>
          <cell r="I942">
            <v>1176431.6499999999</v>
          </cell>
        </row>
        <row r="943">
          <cell r="C943">
            <v>383711</v>
          </cell>
          <cell r="E943" t="str">
            <v>MXN</v>
          </cell>
          <cell r="F943">
            <v>-89664201.489999995</v>
          </cell>
          <cell r="G943">
            <v>92003340.140000001</v>
          </cell>
          <cell r="H943">
            <v>12528385.01</v>
          </cell>
          <cell r="I943">
            <v>-10189246.359999999</v>
          </cell>
        </row>
        <row r="944">
          <cell r="C944">
            <v>384123</v>
          </cell>
          <cell r="E944" t="str">
            <v>MXN</v>
          </cell>
          <cell r="F944">
            <v>-10392842.18</v>
          </cell>
          <cell r="G944">
            <v>60724364.630000003</v>
          </cell>
          <cell r="H944">
            <v>52543205.799999997</v>
          </cell>
          <cell r="I944">
            <v>-2211683.35</v>
          </cell>
        </row>
        <row r="945">
          <cell r="C945">
            <v>384255</v>
          </cell>
          <cell r="E945" t="str">
            <v>MXN</v>
          </cell>
          <cell r="F945">
            <v>-781478.45</v>
          </cell>
          <cell r="G945">
            <v>3172961.82</v>
          </cell>
          <cell r="H945">
            <v>2959173.33</v>
          </cell>
          <cell r="I945">
            <v>-567689.96</v>
          </cell>
        </row>
        <row r="946">
          <cell r="C946">
            <v>384289</v>
          </cell>
          <cell r="E946" t="str">
            <v>MXN</v>
          </cell>
          <cell r="F946">
            <v>-57456.01</v>
          </cell>
          <cell r="G946">
            <v>552427.26</v>
          </cell>
          <cell r="H946">
            <v>1516263.84</v>
          </cell>
          <cell r="I946">
            <v>-1021292.59</v>
          </cell>
        </row>
        <row r="947">
          <cell r="C947">
            <v>384362</v>
          </cell>
          <cell r="E947" t="str">
            <v>MXN</v>
          </cell>
          <cell r="F947">
            <v>-2469852.48</v>
          </cell>
          <cell r="G947">
            <v>16284321.93</v>
          </cell>
          <cell r="H947">
            <v>14414771.039999999</v>
          </cell>
          <cell r="I947">
            <v>-600301.59</v>
          </cell>
        </row>
        <row r="948">
          <cell r="C948">
            <v>384446</v>
          </cell>
          <cell r="E948" t="str">
            <v>MXN</v>
          </cell>
          <cell r="F948">
            <v>-5949596.1699999999</v>
          </cell>
          <cell r="G948">
            <v>34641419.560000002</v>
          </cell>
          <cell r="H948">
            <v>67314257.379999995</v>
          </cell>
          <cell r="I948">
            <v>-38622433.990000002</v>
          </cell>
        </row>
        <row r="949">
          <cell r="C949">
            <v>384461</v>
          </cell>
          <cell r="E949" t="str">
            <v>MXN</v>
          </cell>
          <cell r="F949">
            <v>-1145202.1299999999</v>
          </cell>
          <cell r="G949">
            <v>3439706.53</v>
          </cell>
          <cell r="H949">
            <v>2362348.7999999998</v>
          </cell>
          <cell r="I949">
            <v>-67844.399999999994</v>
          </cell>
        </row>
        <row r="950">
          <cell r="C950">
            <v>384552</v>
          </cell>
          <cell r="E950" t="str">
            <v>MXN</v>
          </cell>
          <cell r="F950">
            <v>-7905597.2000000002</v>
          </cell>
          <cell r="G950">
            <v>17434173.670000002</v>
          </cell>
          <cell r="H950">
            <v>17869102.350000001</v>
          </cell>
          <cell r="I950">
            <v>-8340525.8799999999</v>
          </cell>
        </row>
        <row r="951">
          <cell r="C951">
            <v>384776</v>
          </cell>
          <cell r="E951" t="str">
            <v>MXN</v>
          </cell>
          <cell r="F951">
            <v>-7081511.0599999996</v>
          </cell>
          <cell r="G951">
            <v>9799333.7200000007</v>
          </cell>
          <cell r="H951">
            <v>16483185.859999999</v>
          </cell>
          <cell r="I951">
            <v>-13765363.199999999</v>
          </cell>
        </row>
        <row r="952">
          <cell r="C952">
            <v>384958</v>
          </cell>
          <cell r="E952" t="str">
            <v>MXN</v>
          </cell>
          <cell r="F952">
            <v>-2069181.19</v>
          </cell>
          <cell r="G952">
            <v>4973903.88</v>
          </cell>
          <cell r="H952">
            <v>6704338.5199999996</v>
          </cell>
          <cell r="I952">
            <v>-3799615.83</v>
          </cell>
        </row>
        <row r="953">
          <cell r="C953">
            <v>385534</v>
          </cell>
          <cell r="E953" t="str">
            <v>MXN</v>
          </cell>
          <cell r="F953">
            <v>-4475145.3099999996</v>
          </cell>
          <cell r="G953">
            <v>9395975.8200000003</v>
          </cell>
          <cell r="H953">
            <v>9419088.7699999996</v>
          </cell>
          <cell r="I953">
            <v>-4498258.26</v>
          </cell>
        </row>
        <row r="954">
          <cell r="C954">
            <v>385559</v>
          </cell>
          <cell r="E954" t="str">
            <v>MXN</v>
          </cell>
          <cell r="F954">
            <v>-871100.84</v>
          </cell>
          <cell r="G954">
            <v>1580199.62</v>
          </cell>
          <cell r="H954">
            <v>1560725.12</v>
          </cell>
          <cell r="I954">
            <v>-851626.34</v>
          </cell>
        </row>
        <row r="955">
          <cell r="C955">
            <v>385872</v>
          </cell>
          <cell r="E955" t="str">
            <v>MXN</v>
          </cell>
          <cell r="F955">
            <v>-8689003.8399999999</v>
          </cell>
          <cell r="G955">
            <v>20980336.739999998</v>
          </cell>
          <cell r="H955">
            <v>18630206.370000001</v>
          </cell>
          <cell r="I955">
            <v>-6338873.4699999997</v>
          </cell>
        </row>
        <row r="956">
          <cell r="C956">
            <v>385930</v>
          </cell>
          <cell r="E956" t="str">
            <v>MXN</v>
          </cell>
          <cell r="F956">
            <v>-1473463.72</v>
          </cell>
          <cell r="G956">
            <v>5976857.5599999996</v>
          </cell>
          <cell r="H956">
            <v>6127663.7999999998</v>
          </cell>
          <cell r="I956">
            <v>-1624269.96</v>
          </cell>
        </row>
        <row r="957">
          <cell r="C957">
            <v>386029</v>
          </cell>
          <cell r="E957" t="str">
            <v>MXN</v>
          </cell>
          <cell r="F957">
            <v>-2280684.42</v>
          </cell>
          <cell r="G957">
            <v>6536317.9900000002</v>
          </cell>
          <cell r="H957">
            <v>5121448.8099999996</v>
          </cell>
          <cell r="I957">
            <v>-865815.24</v>
          </cell>
        </row>
        <row r="958">
          <cell r="C958">
            <v>386037</v>
          </cell>
          <cell r="E958" t="str">
            <v>MXN</v>
          </cell>
          <cell r="F958">
            <v>-11109487.630000001</v>
          </cell>
          <cell r="G958">
            <v>10905747.390000001</v>
          </cell>
          <cell r="H958">
            <v>506941.09</v>
          </cell>
          <cell r="I958">
            <v>-710681.33</v>
          </cell>
        </row>
        <row r="959">
          <cell r="C959">
            <v>386722</v>
          </cell>
          <cell r="E959" t="str">
            <v>MXN</v>
          </cell>
          <cell r="F959">
            <v>-13951143.869999999</v>
          </cell>
          <cell r="G959">
            <v>31290810.899999999</v>
          </cell>
          <cell r="H959">
            <v>22104169.41</v>
          </cell>
          <cell r="I959">
            <v>-4764502.38</v>
          </cell>
        </row>
        <row r="960">
          <cell r="C960">
            <v>387183</v>
          </cell>
          <cell r="E960" t="str">
            <v>MXN</v>
          </cell>
          <cell r="F960">
            <v>-20035544.02</v>
          </cell>
          <cell r="G960">
            <v>21316201.57</v>
          </cell>
          <cell r="H960">
            <v>4079988.8</v>
          </cell>
          <cell r="I960">
            <v>-2799331.25</v>
          </cell>
        </row>
        <row r="961">
          <cell r="C961">
            <v>387688</v>
          </cell>
          <cell r="E961" t="str">
            <v>MXN</v>
          </cell>
          <cell r="F961">
            <v>-181459.94</v>
          </cell>
          <cell r="G961">
            <v>86319.91</v>
          </cell>
          <cell r="H961">
            <v>0</v>
          </cell>
          <cell r="I961">
            <v>-95140.03</v>
          </cell>
        </row>
        <row r="962">
          <cell r="C962">
            <v>387779</v>
          </cell>
          <cell r="E962" t="str">
            <v>MXN</v>
          </cell>
          <cell r="F962">
            <v>-3624520.39</v>
          </cell>
          <cell r="G962">
            <v>4848205.7</v>
          </cell>
          <cell r="H962">
            <v>4899388.66</v>
          </cell>
          <cell r="I962">
            <v>-3675703.35</v>
          </cell>
        </row>
        <row r="963">
          <cell r="C963">
            <v>387860</v>
          </cell>
          <cell r="E963" t="str">
            <v>MXN</v>
          </cell>
          <cell r="F963">
            <v>-8596976.9000000004</v>
          </cell>
          <cell r="G963">
            <v>24298660.719999999</v>
          </cell>
          <cell r="H963">
            <v>23409428.449999999</v>
          </cell>
          <cell r="I963">
            <v>-7707744.6299999999</v>
          </cell>
        </row>
        <row r="964">
          <cell r="C964">
            <v>387977</v>
          </cell>
          <cell r="E964" t="str">
            <v>MXN</v>
          </cell>
          <cell r="F964">
            <v>-49566721.490000002</v>
          </cell>
          <cell r="G964">
            <v>111624280</v>
          </cell>
          <cell r="H964">
            <v>78166561.689999998</v>
          </cell>
          <cell r="I964">
            <v>-16109003.18</v>
          </cell>
        </row>
        <row r="965">
          <cell r="C965">
            <v>388801</v>
          </cell>
          <cell r="E965" t="str">
            <v>MXN</v>
          </cell>
          <cell r="F965">
            <v>-1081387.3500000001</v>
          </cell>
          <cell r="G965">
            <v>1974613.29</v>
          </cell>
          <cell r="H965">
            <v>1810563.32</v>
          </cell>
          <cell r="I965">
            <v>-917337.38</v>
          </cell>
        </row>
        <row r="966">
          <cell r="C966">
            <v>388819</v>
          </cell>
          <cell r="E966" t="str">
            <v>MXN</v>
          </cell>
          <cell r="F966">
            <v>-5489214.4100000001</v>
          </cell>
          <cell r="G966">
            <v>40587944.43</v>
          </cell>
          <cell r="H966">
            <v>37375871.219999999</v>
          </cell>
          <cell r="I966">
            <v>-2277141.2000000002</v>
          </cell>
        </row>
        <row r="967">
          <cell r="C967">
            <v>389783</v>
          </cell>
          <cell r="E967" t="str">
            <v>MXN</v>
          </cell>
          <cell r="F967">
            <v>-11414237.01</v>
          </cell>
          <cell r="G967">
            <v>19125525.66</v>
          </cell>
          <cell r="H967">
            <v>18884833.739999998</v>
          </cell>
          <cell r="I967">
            <v>-11173545.09</v>
          </cell>
        </row>
        <row r="968">
          <cell r="C968">
            <v>390252</v>
          </cell>
          <cell r="E968" t="str">
            <v>MXN</v>
          </cell>
          <cell r="F968">
            <v>-5336696.1900000004</v>
          </cell>
          <cell r="G968">
            <v>13228185.35</v>
          </cell>
          <cell r="H968">
            <v>12073818.18</v>
          </cell>
          <cell r="I968">
            <v>-4182329.02</v>
          </cell>
        </row>
        <row r="969">
          <cell r="C969">
            <v>390278</v>
          </cell>
          <cell r="E969" t="str">
            <v>MXN</v>
          </cell>
          <cell r="F969">
            <v>-7373135.21</v>
          </cell>
          <cell r="G969">
            <v>15240663.189999999</v>
          </cell>
          <cell r="H969">
            <v>10622313.560000001</v>
          </cell>
          <cell r="I969">
            <v>-2754785.58</v>
          </cell>
        </row>
        <row r="970">
          <cell r="C970">
            <v>390518</v>
          </cell>
          <cell r="E970" t="str">
            <v>MXN</v>
          </cell>
          <cell r="F970">
            <v>-2657999.4700000002</v>
          </cell>
          <cell r="G970">
            <v>3996683.43</v>
          </cell>
          <cell r="H970">
            <v>4473545.3099999996</v>
          </cell>
          <cell r="I970">
            <v>-3134861.35</v>
          </cell>
        </row>
        <row r="971">
          <cell r="C971">
            <v>390716</v>
          </cell>
          <cell r="E971" t="str">
            <v>MXN</v>
          </cell>
          <cell r="F971">
            <v>-2135463.12</v>
          </cell>
          <cell r="G971">
            <v>7202629.5800000001</v>
          </cell>
          <cell r="H971">
            <v>6172756.4699999997</v>
          </cell>
          <cell r="I971">
            <v>-1105590.01</v>
          </cell>
        </row>
        <row r="972">
          <cell r="C972">
            <v>391177</v>
          </cell>
          <cell r="E972" t="str">
            <v>MXN</v>
          </cell>
          <cell r="F972">
            <v>-6901209.71</v>
          </cell>
          <cell r="G972">
            <v>23987481.620000001</v>
          </cell>
          <cell r="H972">
            <v>27133227.43</v>
          </cell>
          <cell r="I972">
            <v>-10046955.52</v>
          </cell>
        </row>
        <row r="973">
          <cell r="C973">
            <v>391219</v>
          </cell>
          <cell r="E973" t="str">
            <v>MXN</v>
          </cell>
          <cell r="F973">
            <v>-8709611.1400000006</v>
          </cell>
          <cell r="G973">
            <v>10622842.09</v>
          </cell>
          <cell r="H973">
            <v>5005300.05</v>
          </cell>
          <cell r="I973">
            <v>-3092069.1</v>
          </cell>
        </row>
        <row r="974">
          <cell r="C974">
            <v>391250</v>
          </cell>
          <cell r="E974" t="str">
            <v>MXN</v>
          </cell>
          <cell r="F974">
            <v>-197295109.81999999</v>
          </cell>
          <cell r="G974">
            <v>815029609.37</v>
          </cell>
          <cell r="H974">
            <v>791517985.59000003</v>
          </cell>
          <cell r="I974">
            <v>-173783486.03999999</v>
          </cell>
        </row>
        <row r="975">
          <cell r="C975">
            <v>391524</v>
          </cell>
          <cell r="E975" t="str">
            <v>MXN</v>
          </cell>
          <cell r="F975">
            <v>-4014709.33</v>
          </cell>
          <cell r="G975">
            <v>14889523.810000001</v>
          </cell>
          <cell r="H975">
            <v>13002247.289999999</v>
          </cell>
          <cell r="I975">
            <v>-2127432.81</v>
          </cell>
        </row>
        <row r="976">
          <cell r="C976">
            <v>391672</v>
          </cell>
          <cell r="E976" t="str">
            <v>MXN</v>
          </cell>
          <cell r="F976">
            <v>-1227772.94</v>
          </cell>
          <cell r="G976">
            <v>3699202.93</v>
          </cell>
          <cell r="H976">
            <v>2933203.43</v>
          </cell>
          <cell r="I976">
            <v>-461773.44</v>
          </cell>
        </row>
        <row r="977">
          <cell r="C977">
            <v>391961</v>
          </cell>
          <cell r="E977" t="str">
            <v>MXN</v>
          </cell>
          <cell r="F977">
            <v>-637254.18000000005</v>
          </cell>
          <cell r="G977">
            <v>456976.64000000001</v>
          </cell>
          <cell r="H977">
            <v>21.42</v>
          </cell>
          <cell r="I977">
            <v>-180298.96</v>
          </cell>
        </row>
        <row r="978">
          <cell r="C978">
            <v>391979</v>
          </cell>
          <cell r="E978" t="str">
            <v>MXN</v>
          </cell>
          <cell r="F978">
            <v>-19348786.510000002</v>
          </cell>
          <cell r="G978">
            <v>41227887.399999999</v>
          </cell>
          <cell r="H978">
            <v>24440944.030000001</v>
          </cell>
          <cell r="I978">
            <v>-2561843.14</v>
          </cell>
        </row>
        <row r="979">
          <cell r="C979">
            <v>392092</v>
          </cell>
          <cell r="E979" t="str">
            <v>MXN</v>
          </cell>
          <cell r="F979">
            <v>-77677426.150000006</v>
          </cell>
          <cell r="G979">
            <v>232349626.52000001</v>
          </cell>
          <cell r="H979">
            <v>181528660.55000001</v>
          </cell>
          <cell r="I979">
            <v>-26856460.18</v>
          </cell>
        </row>
        <row r="980">
          <cell r="C980">
            <v>392381</v>
          </cell>
          <cell r="E980" t="str">
            <v>MXN</v>
          </cell>
          <cell r="F980">
            <v>-2231405.84</v>
          </cell>
          <cell r="G980">
            <v>18320496.91</v>
          </cell>
          <cell r="H980">
            <v>18130791.039999999</v>
          </cell>
          <cell r="I980">
            <v>-2041699.97</v>
          </cell>
        </row>
        <row r="981">
          <cell r="C981">
            <v>392670</v>
          </cell>
          <cell r="E981" t="str">
            <v>MXN</v>
          </cell>
          <cell r="F981">
            <v>-368577.56</v>
          </cell>
          <cell r="G981">
            <v>3241525.52</v>
          </cell>
          <cell r="H981">
            <v>2978058.44</v>
          </cell>
          <cell r="I981">
            <v>-105110.48</v>
          </cell>
        </row>
        <row r="982">
          <cell r="C982">
            <v>392712</v>
          </cell>
          <cell r="E982" t="str">
            <v>MXN</v>
          </cell>
          <cell r="F982">
            <v>-9354871</v>
          </cell>
          <cell r="G982">
            <v>27178687.93</v>
          </cell>
          <cell r="H982">
            <v>23138322.43</v>
          </cell>
          <cell r="I982">
            <v>-5314505.5</v>
          </cell>
        </row>
        <row r="983">
          <cell r="C983">
            <v>392811</v>
          </cell>
          <cell r="E983" t="str">
            <v>MXN</v>
          </cell>
          <cell r="F983">
            <v>-359452965.37</v>
          </cell>
          <cell r="G983">
            <v>1649711963.73</v>
          </cell>
          <cell r="H983">
            <v>1462987341.96</v>
          </cell>
          <cell r="I983">
            <v>-172728343.59999999</v>
          </cell>
        </row>
        <row r="984">
          <cell r="C984">
            <v>393090</v>
          </cell>
          <cell r="E984" t="str">
            <v>MXN</v>
          </cell>
          <cell r="F984">
            <v>-10592092.42</v>
          </cell>
          <cell r="G984">
            <v>43333049.57</v>
          </cell>
          <cell r="H984">
            <v>48816188.75</v>
          </cell>
          <cell r="I984">
            <v>-16075231.6</v>
          </cell>
        </row>
        <row r="985">
          <cell r="C985">
            <v>393140</v>
          </cell>
          <cell r="E985" t="str">
            <v>MXN</v>
          </cell>
          <cell r="F985">
            <v>-3255388.47</v>
          </cell>
          <cell r="G985">
            <v>4560771.21</v>
          </cell>
          <cell r="H985">
            <v>1305382.74</v>
          </cell>
          <cell r="I985">
            <v>0</v>
          </cell>
        </row>
        <row r="986">
          <cell r="C986">
            <v>394189</v>
          </cell>
          <cell r="E986" t="str">
            <v>MXN</v>
          </cell>
          <cell r="F986">
            <v>-23120885.48</v>
          </cell>
          <cell r="G986">
            <v>41670628.609999999</v>
          </cell>
          <cell r="H986">
            <v>62956312.740000002</v>
          </cell>
          <cell r="I986">
            <v>-44406569.609999999</v>
          </cell>
        </row>
        <row r="987">
          <cell r="C987">
            <v>394213</v>
          </cell>
          <cell r="E987" t="str">
            <v>MXN</v>
          </cell>
          <cell r="F987">
            <v>-32288276.25</v>
          </cell>
          <cell r="G987">
            <v>122031273.44</v>
          </cell>
          <cell r="H987">
            <v>132168302.09999999</v>
          </cell>
          <cell r="I987">
            <v>-42425304.909999996</v>
          </cell>
        </row>
        <row r="988">
          <cell r="C988">
            <v>394403</v>
          </cell>
          <cell r="E988" t="str">
            <v>MXN</v>
          </cell>
          <cell r="F988">
            <v>5566.64</v>
          </cell>
          <cell r="G988">
            <v>0</v>
          </cell>
          <cell r="H988">
            <v>0</v>
          </cell>
          <cell r="I988">
            <v>5566.64</v>
          </cell>
        </row>
        <row r="989">
          <cell r="C989">
            <v>394767</v>
          </cell>
          <cell r="E989" t="str">
            <v>MXN</v>
          </cell>
          <cell r="F989">
            <v>-222407.12</v>
          </cell>
          <cell r="G989">
            <v>1410281.62</v>
          </cell>
          <cell r="H989">
            <v>1404121.62</v>
          </cell>
          <cell r="I989">
            <v>-216247.12</v>
          </cell>
        </row>
        <row r="990">
          <cell r="C990">
            <v>394874</v>
          </cell>
          <cell r="E990" t="str">
            <v>MXN</v>
          </cell>
          <cell r="F990">
            <v>-1260082.22</v>
          </cell>
          <cell r="G990">
            <v>2397162.83</v>
          </cell>
          <cell r="H990">
            <v>1273671.53</v>
          </cell>
          <cell r="I990">
            <v>-136590.92000000001</v>
          </cell>
        </row>
        <row r="991">
          <cell r="C991">
            <v>394882</v>
          </cell>
          <cell r="E991" t="str">
            <v>MXN</v>
          </cell>
          <cell r="F991">
            <v>-10987924.99</v>
          </cell>
          <cell r="G991">
            <v>17764301.390000001</v>
          </cell>
          <cell r="H991">
            <v>10830836.300000001</v>
          </cell>
          <cell r="I991">
            <v>-4054459.9</v>
          </cell>
        </row>
        <row r="992">
          <cell r="C992">
            <v>395053</v>
          </cell>
          <cell r="E992" t="str">
            <v>MXN</v>
          </cell>
          <cell r="F992">
            <v>-7917393.5099999998</v>
          </cell>
          <cell r="G992">
            <v>24600483.379999999</v>
          </cell>
          <cell r="H992">
            <v>19148898.329999998</v>
          </cell>
          <cell r="I992">
            <v>-2465808.46</v>
          </cell>
        </row>
        <row r="993">
          <cell r="C993">
            <v>395210</v>
          </cell>
          <cell r="E993" t="str">
            <v>MXN</v>
          </cell>
          <cell r="F993">
            <v>-1689316.91</v>
          </cell>
          <cell r="G993">
            <v>18629575.73</v>
          </cell>
          <cell r="H993">
            <v>18393018.23</v>
          </cell>
          <cell r="I993">
            <v>-1452759.41</v>
          </cell>
        </row>
        <row r="994">
          <cell r="C994">
            <v>395350</v>
          </cell>
          <cell r="E994" t="str">
            <v>MXN</v>
          </cell>
          <cell r="F994">
            <v>-2683970.2200000002</v>
          </cell>
          <cell r="G994">
            <v>13551560.039999999</v>
          </cell>
          <cell r="H994">
            <v>12511572.15</v>
          </cell>
          <cell r="I994">
            <v>-1643982.33</v>
          </cell>
        </row>
        <row r="995">
          <cell r="C995">
            <v>395434</v>
          </cell>
          <cell r="E995" t="str">
            <v>MXN</v>
          </cell>
          <cell r="F995">
            <v>123706.7</v>
          </cell>
          <cell r="G995">
            <v>127596.21</v>
          </cell>
          <cell r="H995">
            <v>355403.65</v>
          </cell>
          <cell r="I995">
            <v>-104100.74</v>
          </cell>
        </row>
        <row r="996">
          <cell r="C996">
            <v>395855</v>
          </cell>
          <cell r="E996" t="str">
            <v>MXN</v>
          </cell>
          <cell r="F996">
            <v>-1188878.6599999999</v>
          </cell>
          <cell r="G996">
            <v>2703546.59</v>
          </cell>
          <cell r="H996">
            <v>2453156.16</v>
          </cell>
          <cell r="I996">
            <v>-938488.23</v>
          </cell>
        </row>
        <row r="997">
          <cell r="C997">
            <v>395863</v>
          </cell>
          <cell r="E997" t="str">
            <v>MXN</v>
          </cell>
          <cell r="F997">
            <v>-9344535.5299999993</v>
          </cell>
          <cell r="G997">
            <v>34426278.490000002</v>
          </cell>
          <cell r="H997">
            <v>30626825.59</v>
          </cell>
          <cell r="I997">
            <v>-5545082.6299999999</v>
          </cell>
        </row>
        <row r="998">
          <cell r="C998">
            <v>396234</v>
          </cell>
          <cell r="E998" t="str">
            <v>MXN</v>
          </cell>
          <cell r="F998">
            <v>-8538496.2899999991</v>
          </cell>
          <cell r="G998">
            <v>11634721.970000001</v>
          </cell>
          <cell r="H998">
            <v>10238840.689999999</v>
          </cell>
          <cell r="I998">
            <v>-7142615.0099999998</v>
          </cell>
        </row>
        <row r="999">
          <cell r="C999">
            <v>396481</v>
          </cell>
          <cell r="E999" t="str">
            <v>MXN</v>
          </cell>
          <cell r="F999">
            <v>-2461335.7999999998</v>
          </cell>
          <cell r="G999">
            <v>3480</v>
          </cell>
          <cell r="H999">
            <v>0</v>
          </cell>
          <cell r="I999">
            <v>-2457855.7999999998</v>
          </cell>
        </row>
        <row r="1000">
          <cell r="C1000">
            <v>396648</v>
          </cell>
          <cell r="E1000" t="str">
            <v>MXN</v>
          </cell>
          <cell r="F1000">
            <v>-6208055.7599999998</v>
          </cell>
          <cell r="G1000">
            <v>7214873.2400000002</v>
          </cell>
          <cell r="H1000">
            <v>995565.46</v>
          </cell>
          <cell r="I1000">
            <v>11252.02</v>
          </cell>
        </row>
        <row r="1001">
          <cell r="C1001">
            <v>396655</v>
          </cell>
          <cell r="E1001" t="str">
            <v>MXN</v>
          </cell>
          <cell r="F1001">
            <v>-13535753.35</v>
          </cell>
          <cell r="G1001">
            <v>80916550.400000006</v>
          </cell>
          <cell r="H1001">
            <v>70397105.829999998</v>
          </cell>
          <cell r="I1001">
            <v>-3016308.78</v>
          </cell>
        </row>
        <row r="1002">
          <cell r="C1002">
            <v>397315</v>
          </cell>
          <cell r="E1002" t="str">
            <v>MXN</v>
          </cell>
          <cell r="F1002">
            <v>-6605511.3399999999</v>
          </cell>
          <cell r="G1002">
            <v>20087548.18</v>
          </cell>
          <cell r="H1002">
            <v>23107345.559999999</v>
          </cell>
          <cell r="I1002">
            <v>-9625308.7200000007</v>
          </cell>
        </row>
        <row r="1003">
          <cell r="C1003">
            <v>397521</v>
          </cell>
          <cell r="E1003" t="str">
            <v>MXN</v>
          </cell>
          <cell r="F1003">
            <v>-1671802.36</v>
          </cell>
          <cell r="G1003">
            <v>4186355.69</v>
          </cell>
          <cell r="H1003">
            <v>2956318.5</v>
          </cell>
          <cell r="I1003">
            <v>-441765.17</v>
          </cell>
        </row>
        <row r="1004">
          <cell r="C1004">
            <v>397547</v>
          </cell>
          <cell r="E1004" t="str">
            <v>MXN</v>
          </cell>
          <cell r="F1004">
            <v>-385860.74</v>
          </cell>
          <cell r="G1004">
            <v>1655600.62</v>
          </cell>
          <cell r="H1004">
            <v>1430142.56</v>
          </cell>
          <cell r="I1004">
            <v>-160402.68</v>
          </cell>
        </row>
        <row r="1005">
          <cell r="C1005">
            <v>397984</v>
          </cell>
          <cell r="E1005" t="str">
            <v>MXN</v>
          </cell>
          <cell r="F1005">
            <v>-300277995.95999998</v>
          </cell>
          <cell r="G1005">
            <v>481764729.81</v>
          </cell>
          <cell r="H1005">
            <v>436333125.64999998</v>
          </cell>
          <cell r="I1005">
            <v>-254846391.80000001</v>
          </cell>
        </row>
        <row r="1006">
          <cell r="C1006">
            <v>398024</v>
          </cell>
          <cell r="E1006" t="str">
            <v>MXN</v>
          </cell>
          <cell r="F1006">
            <v>-93038334.560000002</v>
          </cell>
          <cell r="G1006">
            <v>488556912.38</v>
          </cell>
          <cell r="H1006">
            <v>588581930.77999997</v>
          </cell>
          <cell r="I1006">
            <v>-193063352.96000001</v>
          </cell>
        </row>
        <row r="1007">
          <cell r="C1007">
            <v>398289</v>
          </cell>
          <cell r="E1007" t="str">
            <v>MXN</v>
          </cell>
          <cell r="F1007">
            <v>-21539176.120000001</v>
          </cell>
          <cell r="G1007">
            <v>30925917.050000001</v>
          </cell>
          <cell r="H1007">
            <v>17785202.84</v>
          </cell>
          <cell r="I1007">
            <v>-8398461.9100000001</v>
          </cell>
        </row>
        <row r="1008">
          <cell r="C1008">
            <v>398487</v>
          </cell>
          <cell r="E1008" t="str">
            <v>MXN</v>
          </cell>
          <cell r="F1008">
            <v>-5923348.0700000003</v>
          </cell>
          <cell r="G1008">
            <v>25751415.530000001</v>
          </cell>
          <cell r="H1008">
            <v>29698721.140000001</v>
          </cell>
          <cell r="I1008">
            <v>-9870653.6799999997</v>
          </cell>
        </row>
        <row r="1009">
          <cell r="C1009">
            <v>398511</v>
          </cell>
          <cell r="E1009" t="str">
            <v>MXN</v>
          </cell>
          <cell r="F1009">
            <v>-568582.11</v>
          </cell>
          <cell r="G1009">
            <v>693847.71</v>
          </cell>
          <cell r="H1009">
            <v>801882</v>
          </cell>
          <cell r="I1009">
            <v>-676616.4</v>
          </cell>
        </row>
        <row r="1010">
          <cell r="C1010">
            <v>399014</v>
          </cell>
          <cell r="E1010" t="str">
            <v>MXN</v>
          </cell>
          <cell r="F1010">
            <v>-3180505.07</v>
          </cell>
          <cell r="G1010">
            <v>3506396.77</v>
          </cell>
          <cell r="H1010">
            <v>2251908</v>
          </cell>
          <cell r="I1010">
            <v>-1926016.3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álisis"/>
      <sheetName val="Resultados 16feb26"/>
      <sheetName val="Resultados 30mzo26 (2)"/>
      <sheetName val="Analisis Partidas 5feb26"/>
      <sheetName val="Planeación Sor-PRGX 2026"/>
      <sheetName val="Resumen Ejecutivo"/>
      <sheetName val="VM 2020 - 2024"/>
      <sheetName val="Resultados 9abr26"/>
      <sheetName val="Sheet4"/>
      <sheetName val="Dashboard"/>
      <sheetName val="Definición Inventario"/>
      <sheetName val="resumen (Cartas Autorizadas)"/>
      <sheetName val="VM 2020 - 2024 _actual"/>
      <sheetName val="Aclaraciones"/>
      <sheetName val="AclaracionesxAuditor"/>
      <sheetName val="Sheet3"/>
      <sheetName val="Sheet2"/>
      <sheetName val="Sheet1"/>
      <sheetName val="Memo actualizado 27nov25"/>
      <sheetName val="Sheet8"/>
      <sheetName val="Memo Pivot"/>
      <sheetName val="resumen (Cartas Autorizadas (2)"/>
      <sheetName val="Panoptic 3 nov 25"/>
      <sheetName val="Danone"/>
      <sheetName val="No Compensados Adicionales"/>
      <sheetName val="Copy of Dashboard Inventario 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B5ED-BF51-4CAA-B33B-9D1BF43415B5}">
  <sheetPr>
    <tabColor theme="9" tint="0.59999389629810485"/>
  </sheetPr>
  <dimension ref="A1:Z1052"/>
  <sheetViews>
    <sheetView showGridLines="0" tabSelected="1" zoomScale="85" zoomScaleNormal="85" workbookViewId="0">
      <pane xSplit="7" topLeftCell="H1" activePane="topRight" state="frozen"/>
      <selection activeCell="A9" sqref="A9"/>
      <selection pane="topRight" sqref="A1:O1"/>
    </sheetView>
  </sheetViews>
  <sheetFormatPr defaultColWidth="8.7109375" defaultRowHeight="15" customHeight="1" x14ac:dyDescent="0.25"/>
  <cols>
    <col min="1" max="1" width="12.42578125" bestFit="1" customWidth="1"/>
    <col min="2" max="2" width="33.42578125" customWidth="1"/>
    <col min="3" max="3" width="11.7109375" customWidth="1"/>
    <col min="4" max="4" width="22.42578125" customWidth="1"/>
    <col min="5" max="6" width="19.28515625" hidden="1" customWidth="1"/>
    <col min="7" max="7" width="18.7109375" customWidth="1"/>
    <col min="8" max="8" width="15.42578125" customWidth="1"/>
    <col min="9" max="9" width="8.28515625" bestFit="1" customWidth="1"/>
    <col min="10" max="10" width="19.7109375" bestFit="1" customWidth="1"/>
    <col min="11" max="11" width="22.7109375" bestFit="1" customWidth="1"/>
    <col min="12" max="12" width="19" bestFit="1" customWidth="1"/>
    <col min="13" max="13" width="15.7109375" bestFit="1" customWidth="1"/>
    <col min="14" max="14" width="16.28515625" customWidth="1"/>
    <col min="15" max="15" width="17.5703125" bestFit="1" customWidth="1"/>
    <col min="16" max="16" width="17.5703125" style="30" customWidth="1"/>
    <col min="17" max="18" width="17.5703125" customWidth="1"/>
    <col min="19" max="19" width="11.7109375" hidden="1" customWidth="1"/>
    <col min="20" max="20" width="15.5703125" bestFit="1" customWidth="1"/>
    <col min="21" max="21" width="15.5703125" hidden="1" customWidth="1"/>
    <col min="22" max="22" width="23.7109375" customWidth="1"/>
    <col min="23" max="23" width="17.5703125" bestFit="1" customWidth="1"/>
    <col min="24" max="24" width="21" customWidth="1"/>
    <col min="25" max="25" width="11" bestFit="1" customWidth="1"/>
  </cols>
  <sheetData>
    <row r="1" spans="1:26" ht="24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  <c r="R1" s="3"/>
      <c r="S1" s="3"/>
    </row>
    <row r="2" spans="1:26" ht="2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6"/>
      <c r="S2" s="6"/>
    </row>
    <row r="7" spans="1:26" ht="15.75" x14ac:dyDescent="0.25">
      <c r="B7" s="7">
        <f>SUBTOTAL(3,B9:B1052)</f>
        <v>1044</v>
      </c>
      <c r="C7" s="8"/>
      <c r="D7" s="9">
        <f>SUBTOTAL(9,D9:D1052)</f>
        <v>949889976538.87964</v>
      </c>
      <c r="E7" s="8"/>
      <c r="F7" s="9">
        <f>SUBTOTAL(9,F9:F1052)</f>
        <v>146487133281.58234</v>
      </c>
      <c r="G7" s="8"/>
      <c r="H7" s="8"/>
      <c r="I7" s="8"/>
      <c r="J7" s="9">
        <f>SUBTOTAL(9,J9:J1052)</f>
        <v>197107774.6208207</v>
      </c>
      <c r="P7" s="10"/>
      <c r="Q7" s="10"/>
      <c r="R7" s="10"/>
      <c r="S7" s="10"/>
      <c r="T7" s="10"/>
      <c r="U7" s="10"/>
      <c r="V7" s="10"/>
    </row>
    <row r="8" spans="1:26" ht="39.6" customHeight="1" x14ac:dyDescent="0.25">
      <c r="A8" s="11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3" t="s">
        <v>7</v>
      </c>
      <c r="G8" s="14" t="s">
        <v>8</v>
      </c>
      <c r="H8" s="14" t="s">
        <v>9</v>
      </c>
      <c r="I8" s="15" t="s">
        <v>10</v>
      </c>
      <c r="J8" s="16" t="s">
        <v>11</v>
      </c>
      <c r="K8" s="17" t="s">
        <v>12</v>
      </c>
      <c r="L8" s="18" t="s">
        <v>13</v>
      </c>
      <c r="M8" s="19" t="s">
        <v>14</v>
      </c>
      <c r="N8" s="20" t="s">
        <v>15</v>
      </c>
      <c r="O8" s="20" t="s">
        <v>16</v>
      </c>
      <c r="P8" s="21" t="s">
        <v>17</v>
      </c>
      <c r="Q8" s="22" t="s">
        <v>18</v>
      </c>
      <c r="R8" s="22" t="s">
        <v>19</v>
      </c>
      <c r="S8" s="23" t="s">
        <v>20</v>
      </c>
      <c r="T8" s="23" t="s">
        <v>21</v>
      </c>
      <c r="U8" s="23" t="s">
        <v>22</v>
      </c>
      <c r="V8" s="23" t="s">
        <v>23</v>
      </c>
      <c r="W8" s="23" t="s">
        <v>24</v>
      </c>
      <c r="X8" s="24" t="s">
        <v>25</v>
      </c>
      <c r="Y8" s="24" t="s">
        <v>26</v>
      </c>
      <c r="Z8" s="23" t="s">
        <v>27</v>
      </c>
    </row>
    <row r="9" spans="1:26" x14ac:dyDescent="0.25">
      <c r="A9" s="25">
        <v>61242</v>
      </c>
      <c r="B9" s="25" t="s">
        <v>28</v>
      </c>
      <c r="C9" s="26">
        <v>3923819</v>
      </c>
      <c r="D9" s="27">
        <v>37478381336.819397</v>
      </c>
      <c r="E9" s="27">
        <v>34075720925.392395</v>
      </c>
      <c r="F9" s="27">
        <v>3402660411.427</v>
      </c>
      <c r="G9" s="27">
        <f>VLOOKUP(A9,'[1]saldos al 26May26'!$C$2:$I$1010,7,FALSE)</f>
        <v>-204709995.33000001</v>
      </c>
      <c r="H9" s="27"/>
      <c r="I9" s="28" t="s">
        <v>27</v>
      </c>
      <c r="J9" s="29"/>
      <c r="K9" s="25" t="s">
        <v>29</v>
      </c>
      <c r="L9" s="25" t="s">
        <v>30</v>
      </c>
      <c r="M9" s="25" t="s">
        <v>31</v>
      </c>
      <c r="N9" s="25"/>
      <c r="O9" t="s">
        <v>32</v>
      </c>
      <c r="P9" s="30">
        <v>378711086.60000002</v>
      </c>
      <c r="Q9" s="30">
        <v>216032985.51999998</v>
      </c>
      <c r="R9" s="30">
        <v>4171065.5</v>
      </c>
      <c r="S9" s="30" t="s">
        <v>33</v>
      </c>
      <c r="T9" t="s">
        <v>33</v>
      </c>
      <c r="U9" s="31" t="e">
        <v>#N/A</v>
      </c>
      <c r="V9" t="s">
        <v>34</v>
      </c>
      <c r="Y9" t="e">
        <f>VLOOKUP(A9,[2]!PRGX[[#All],[Proveedor]],1,FALSE)</f>
        <v>#REF!</v>
      </c>
      <c r="Z9">
        <v>61242</v>
      </c>
    </row>
    <row r="10" spans="1:26" x14ac:dyDescent="0.25">
      <c r="A10" s="25">
        <v>34306</v>
      </c>
      <c r="B10" s="25" t="s">
        <v>35</v>
      </c>
      <c r="C10" s="26">
        <v>182362</v>
      </c>
      <c r="D10" s="27">
        <v>35368475606.114899</v>
      </c>
      <c r="E10" s="27">
        <v>34527994214.024902</v>
      </c>
      <c r="F10" s="27">
        <v>840481392.09000003</v>
      </c>
      <c r="G10" s="27">
        <f>VLOOKUP(A10,'[1]saldos al 26May26'!$C$2:$I$1010,7,FALSE)</f>
        <v>-33022652.579999998</v>
      </c>
      <c r="H10" s="27"/>
      <c r="I10" s="28" t="s">
        <v>27</v>
      </c>
      <c r="J10" s="29"/>
      <c r="K10" s="25" t="s">
        <v>29</v>
      </c>
      <c r="L10" s="25" t="s">
        <v>30</v>
      </c>
      <c r="M10" s="25" t="s">
        <v>31</v>
      </c>
      <c r="N10" s="25"/>
      <c r="O10" t="s">
        <v>36</v>
      </c>
      <c r="P10" s="32">
        <v>-22862314.66</v>
      </c>
      <c r="Q10" s="30">
        <v>-215864.44</v>
      </c>
      <c r="R10" s="30">
        <v>1992308</v>
      </c>
      <c r="S10" s="30" t="s">
        <v>33</v>
      </c>
      <c r="T10" t="s">
        <v>33</v>
      </c>
      <c r="U10" s="31" t="e">
        <v>#N/A</v>
      </c>
      <c r="V10" t="s">
        <v>34</v>
      </c>
      <c r="Y10" t="e">
        <f>VLOOKUP(A10,[2]!PRGX[[#All],[Proveedor]],1,FALSE)</f>
        <v>#REF!</v>
      </c>
      <c r="Z10">
        <v>34306</v>
      </c>
    </row>
    <row r="11" spans="1:26" x14ac:dyDescent="0.25">
      <c r="A11" s="25">
        <v>318949</v>
      </c>
      <c r="B11" s="25" t="s">
        <v>37</v>
      </c>
      <c r="C11" s="26">
        <v>47774737</v>
      </c>
      <c r="D11" s="27">
        <v>31825796088.015499</v>
      </c>
      <c r="E11" s="27">
        <v>26562496032.339699</v>
      </c>
      <c r="F11" s="27">
        <v>5263300055.6758003</v>
      </c>
      <c r="G11" s="27">
        <f>VLOOKUP(A11,'[1]saldos al 26May26'!$C$2:$I$1010,7,FALSE)</f>
        <v>-460376076.81</v>
      </c>
      <c r="H11" s="27"/>
      <c r="I11" s="28" t="s">
        <v>27</v>
      </c>
      <c r="J11" s="29"/>
      <c r="K11" s="25" t="s">
        <v>29</v>
      </c>
      <c r="L11" s="25" t="s">
        <v>30</v>
      </c>
      <c r="M11" s="25" t="s">
        <v>31</v>
      </c>
      <c r="N11" s="25"/>
      <c r="O11" t="s">
        <v>38</v>
      </c>
      <c r="P11" s="30">
        <v>819763999.27999997</v>
      </c>
      <c r="Q11" s="30">
        <v>81564372.829999998</v>
      </c>
      <c r="R11" s="30">
        <v>1836671.75</v>
      </c>
      <c r="S11" s="30" t="s">
        <v>33</v>
      </c>
      <c r="T11" t="s">
        <v>33</v>
      </c>
      <c r="U11" s="31" t="e">
        <v>#N/A</v>
      </c>
      <c r="V11" t="s">
        <v>34</v>
      </c>
      <c r="Y11" t="e">
        <f>VLOOKUP(A11,[2]!PRGX[[#All],[Proveedor]],1,FALSE)</f>
        <v>#REF!</v>
      </c>
      <c r="Z11">
        <v>318949</v>
      </c>
    </row>
    <row r="12" spans="1:26" x14ac:dyDescent="0.25">
      <c r="A12" s="25">
        <v>76034</v>
      </c>
      <c r="B12" s="25" t="s">
        <v>39</v>
      </c>
      <c r="C12" s="33">
        <v>11447510</v>
      </c>
      <c r="D12" s="34">
        <v>30982801014.1684</v>
      </c>
      <c r="E12" s="27">
        <v>29254740697.9375</v>
      </c>
      <c r="F12" s="34">
        <v>1728060316.2309</v>
      </c>
      <c r="G12" s="27">
        <f>VLOOKUP(A12,'[1]saldos al 26May26'!$C$2:$I$1010,7,FALSE)</f>
        <v>-207045572.78999999</v>
      </c>
      <c r="H12" s="27"/>
      <c r="I12" s="28" t="s">
        <v>27</v>
      </c>
      <c r="J12" s="35"/>
      <c r="K12" s="25" t="s">
        <v>40</v>
      </c>
      <c r="L12" s="25" t="s">
        <v>30</v>
      </c>
      <c r="M12" s="25" t="s">
        <v>31</v>
      </c>
      <c r="N12" s="25" t="s">
        <v>41</v>
      </c>
      <c r="O12" t="s">
        <v>41</v>
      </c>
      <c r="P12" s="32">
        <v>-22884350.52</v>
      </c>
      <c r="Q12" s="30">
        <v>5961962.6599999992</v>
      </c>
      <c r="R12" s="30">
        <v>2982915.4</v>
      </c>
      <c r="S12" s="30">
        <v>0</v>
      </c>
      <c r="T12" t="s">
        <v>42</v>
      </c>
      <c r="U12" s="31" t="e">
        <v>#N/A</v>
      </c>
      <c r="V12" t="s">
        <v>34</v>
      </c>
      <c r="X12" t="s">
        <v>43</v>
      </c>
      <c r="Y12" t="e">
        <f>VLOOKUP(A12,[2]!PRGX[[#All],[Proveedor]],1,FALSE)</f>
        <v>#REF!</v>
      </c>
      <c r="Z12">
        <v>76034</v>
      </c>
    </row>
    <row r="13" spans="1:26" x14ac:dyDescent="0.25">
      <c r="A13" s="25">
        <v>40022</v>
      </c>
      <c r="B13" s="25" t="s">
        <v>44</v>
      </c>
      <c r="C13" s="26">
        <v>1007694</v>
      </c>
      <c r="D13" s="27">
        <v>23318348598.099098</v>
      </c>
      <c r="E13" s="27">
        <v>19482542613.641098</v>
      </c>
      <c r="F13" s="27">
        <v>3835805984.4580002</v>
      </c>
      <c r="G13" s="27">
        <f>VLOOKUP(A13,'[1]saldos al 26May26'!$C$2:$I$1010,7,FALSE)</f>
        <v>-923307986.80999994</v>
      </c>
      <c r="H13" s="27"/>
      <c r="I13" s="28" t="s">
        <v>27</v>
      </c>
      <c r="J13" s="29"/>
      <c r="K13" s="25" t="s">
        <v>29</v>
      </c>
      <c r="L13" s="25" t="s">
        <v>30</v>
      </c>
      <c r="M13" s="25" t="s">
        <v>31</v>
      </c>
      <c r="N13" s="25"/>
      <c r="O13" t="s">
        <v>45</v>
      </c>
      <c r="P13" s="30">
        <v>40488037.700000003</v>
      </c>
      <c r="Q13" s="30">
        <v>60508172.369999997</v>
      </c>
      <c r="R13" s="30">
        <v>10116182.82</v>
      </c>
      <c r="S13" s="30" t="s">
        <v>33</v>
      </c>
      <c r="T13" t="s">
        <v>33</v>
      </c>
      <c r="U13" s="31" t="e">
        <v>#N/A</v>
      </c>
      <c r="V13" t="s">
        <v>34</v>
      </c>
      <c r="Y13" t="e">
        <f>VLOOKUP(A13,[2]!PRGX[[#All],[Proveedor]],1,FALSE)</f>
        <v>#REF!</v>
      </c>
      <c r="Z13">
        <v>40022</v>
      </c>
    </row>
    <row r="14" spans="1:26" x14ac:dyDescent="0.25">
      <c r="A14" s="25">
        <v>392811</v>
      </c>
      <c r="B14" s="25" t="s">
        <v>46</v>
      </c>
      <c r="C14" s="26">
        <v>69942850</v>
      </c>
      <c r="D14" s="27">
        <v>23011318997.0896</v>
      </c>
      <c r="E14" s="27">
        <v>19038098921.774101</v>
      </c>
      <c r="F14" s="27">
        <v>3973220075.3154998</v>
      </c>
      <c r="G14" s="27">
        <f>VLOOKUP(A14,'[1]saldos al 26May26'!$C$2:$I$1010,7,FALSE)</f>
        <v>-172728343.59999999</v>
      </c>
      <c r="H14" s="27"/>
      <c r="I14" s="28" t="s">
        <v>27</v>
      </c>
      <c r="J14" s="29"/>
      <c r="K14" s="25" t="s">
        <v>29</v>
      </c>
      <c r="L14" s="25" t="s">
        <v>30</v>
      </c>
      <c r="M14" s="25" t="s">
        <v>31</v>
      </c>
      <c r="N14" s="25"/>
      <c r="O14" t="s">
        <v>47</v>
      </c>
      <c r="P14" s="32">
        <v>-399148271.82999998</v>
      </c>
      <c r="Q14" s="30">
        <v>28429570.290000003</v>
      </c>
      <c r="R14" s="30">
        <v>364174.19</v>
      </c>
      <c r="S14" s="30" t="s">
        <v>33</v>
      </c>
      <c r="T14" t="s">
        <v>33</v>
      </c>
      <c r="U14" s="31" t="e">
        <v>#N/A</v>
      </c>
      <c r="V14" t="s">
        <v>34</v>
      </c>
      <c r="Y14" t="e">
        <f>VLOOKUP(A14,[2]!PRGX[[#All],[Proveedor]],1,FALSE)</f>
        <v>#REF!</v>
      </c>
      <c r="Z14">
        <v>392811</v>
      </c>
    </row>
    <row r="15" spans="1:26" x14ac:dyDescent="0.25">
      <c r="A15" s="25">
        <v>17222</v>
      </c>
      <c r="B15" s="25" t="s">
        <v>48</v>
      </c>
      <c r="C15" s="26">
        <v>1426663</v>
      </c>
      <c r="D15" s="27">
        <v>21908978815.861599</v>
      </c>
      <c r="E15" s="27">
        <v>17845795825.2071</v>
      </c>
      <c r="F15" s="27">
        <v>4063182990.6545</v>
      </c>
      <c r="G15" s="27">
        <f>VLOOKUP(A15,'[1]saldos al 26May26'!$C$2:$I$1010,7,FALSE)</f>
        <v>-109105108.12</v>
      </c>
      <c r="H15" s="27"/>
      <c r="I15" s="28" t="s">
        <v>27</v>
      </c>
      <c r="J15" s="29"/>
      <c r="K15" s="25" t="s">
        <v>29</v>
      </c>
      <c r="L15" s="25" t="s">
        <v>30</v>
      </c>
      <c r="M15" s="25" t="s">
        <v>31</v>
      </c>
      <c r="N15" s="25"/>
      <c r="O15" t="s">
        <v>45</v>
      </c>
      <c r="P15" s="30">
        <v>59140470.610000007</v>
      </c>
      <c r="Q15" s="30">
        <v>65705333.689999998</v>
      </c>
      <c r="R15" s="30">
        <v>14446564.510000002</v>
      </c>
      <c r="S15" s="30" t="s">
        <v>33</v>
      </c>
      <c r="T15" t="s">
        <v>33</v>
      </c>
      <c r="U15" s="31" t="e">
        <v>#N/A</v>
      </c>
      <c r="V15" t="s">
        <v>34</v>
      </c>
      <c r="Y15" t="e">
        <f>VLOOKUP(A15,[2]!PRGX[[#All],[Proveedor]],1,FALSE)</f>
        <v>#REF!</v>
      </c>
      <c r="Z15">
        <v>17222</v>
      </c>
    </row>
    <row r="16" spans="1:26" x14ac:dyDescent="0.25">
      <c r="A16" s="25">
        <v>8029</v>
      </c>
      <c r="B16" s="25" t="s">
        <v>49</v>
      </c>
      <c r="C16" s="26">
        <v>975792</v>
      </c>
      <c r="D16" s="27">
        <v>19542364688.3479</v>
      </c>
      <c r="E16" s="27">
        <v>15783232920.9478</v>
      </c>
      <c r="F16" s="27">
        <v>3759131767.4001002</v>
      </c>
      <c r="G16" s="27">
        <f>VLOOKUP(A16,'[1]saldos al 26May26'!$C$2:$I$1010,7,FALSE)</f>
        <v>-1085420011.8499999</v>
      </c>
      <c r="H16" s="27"/>
      <c r="I16" s="28" t="s">
        <v>27</v>
      </c>
      <c r="J16" s="29"/>
      <c r="K16" s="25" t="s">
        <v>29</v>
      </c>
      <c r="L16" s="25" t="s">
        <v>30</v>
      </c>
      <c r="M16" s="25" t="s">
        <v>50</v>
      </c>
      <c r="N16" s="25"/>
      <c r="O16" t="s">
        <v>51</v>
      </c>
      <c r="P16" s="30">
        <v>90441181.079999983</v>
      </c>
      <c r="Q16" s="30">
        <v>70023102.629999995</v>
      </c>
      <c r="R16" s="30">
        <v>5099613.0299999993</v>
      </c>
      <c r="S16" s="30" t="s">
        <v>33</v>
      </c>
      <c r="T16" t="s">
        <v>33</v>
      </c>
      <c r="U16" s="31" t="e">
        <v>#N/A</v>
      </c>
      <c r="V16" t="s">
        <v>34</v>
      </c>
      <c r="Y16" t="e">
        <f>VLOOKUP(A16,[2]!PRGX[[#All],[Proveedor]],1,FALSE)</f>
        <v>#REF!</v>
      </c>
      <c r="Z16">
        <v>8029</v>
      </c>
    </row>
    <row r="17" spans="1:26" x14ac:dyDescent="0.25">
      <c r="A17" s="25">
        <v>5462</v>
      </c>
      <c r="B17" s="25" t="s">
        <v>52</v>
      </c>
      <c r="C17" s="26">
        <v>857910</v>
      </c>
      <c r="D17" s="27">
        <v>16749631090.274</v>
      </c>
      <c r="E17" s="27">
        <v>13571522186.556101</v>
      </c>
      <c r="F17" s="27">
        <v>3178108903.7178998</v>
      </c>
      <c r="G17" s="27">
        <f>VLOOKUP(A17,'[1]saldos al 26May26'!$C$2:$I$1010,7,FALSE)</f>
        <v>-420975208.5</v>
      </c>
      <c r="H17" s="27"/>
      <c r="I17" s="28" t="s">
        <v>27</v>
      </c>
      <c r="J17" s="29"/>
      <c r="K17" s="25" t="s">
        <v>40</v>
      </c>
      <c r="L17" s="25" t="s">
        <v>30</v>
      </c>
      <c r="M17" s="25" t="s">
        <v>50</v>
      </c>
      <c r="N17" s="25" t="s">
        <v>41</v>
      </c>
      <c r="O17" t="s">
        <v>41</v>
      </c>
      <c r="P17" s="30">
        <v>162557075.33999997</v>
      </c>
      <c r="Q17" s="30">
        <v>24372326.25</v>
      </c>
      <c r="R17" s="30">
        <v>7971419.959999999</v>
      </c>
      <c r="S17" s="30">
        <v>0</v>
      </c>
      <c r="T17" t="s">
        <v>33</v>
      </c>
      <c r="U17" s="31" t="e">
        <v>#N/A</v>
      </c>
      <c r="V17" t="s">
        <v>34</v>
      </c>
      <c r="X17" t="s">
        <v>43</v>
      </c>
      <c r="Y17" t="e">
        <f>VLOOKUP(A17,[2]!PRGX[[#All],[Proveedor]],1,FALSE)</f>
        <v>#REF!</v>
      </c>
      <c r="Z17">
        <v>5462</v>
      </c>
    </row>
    <row r="18" spans="1:26" x14ac:dyDescent="0.25">
      <c r="A18" s="36">
        <v>22795</v>
      </c>
      <c r="B18" s="36" t="s">
        <v>53</v>
      </c>
      <c r="C18" s="37">
        <v>2446</v>
      </c>
      <c r="D18" s="38">
        <v>36181565.18</v>
      </c>
      <c r="E18" s="38">
        <v>33090625.82</v>
      </c>
      <c r="F18" s="38">
        <v>3090939.36</v>
      </c>
      <c r="G18" s="38">
        <f>VLOOKUP(A18,'[1]saldos al 26May26'!$C$2:$I$1010,7,FALSE)</f>
        <v>1130.04</v>
      </c>
      <c r="H18" s="39" t="s">
        <v>54</v>
      </c>
      <c r="I18" s="40"/>
      <c r="J18" s="41">
        <v>2373182.7846234948</v>
      </c>
      <c r="K18" s="36" t="s">
        <v>40</v>
      </c>
      <c r="L18" s="36" t="s">
        <v>30</v>
      </c>
      <c r="M18" s="36" t="s">
        <v>55</v>
      </c>
      <c r="N18" s="25" t="s">
        <v>56</v>
      </c>
      <c r="O18" s="42" t="s">
        <v>56</v>
      </c>
      <c r="P18" s="32">
        <v>-1411452.5399999998</v>
      </c>
      <c r="Q18" s="30">
        <v>0</v>
      </c>
      <c r="R18" s="30">
        <v>20876.5</v>
      </c>
      <c r="S18" s="30" t="e">
        <v>#N/A</v>
      </c>
      <c r="T18" t="s">
        <v>34</v>
      </c>
      <c r="U18" s="31">
        <v>0</v>
      </c>
      <c r="V18" t="s">
        <v>42</v>
      </c>
      <c r="W18" t="s">
        <v>57</v>
      </c>
      <c r="Y18" t="e">
        <f>VLOOKUP(A18,[2]!PRGX[[#All],[Proveedor]],1,FALSE)</f>
        <v>#REF!</v>
      </c>
    </row>
    <row r="19" spans="1:26" s="43" customFormat="1" x14ac:dyDescent="0.25">
      <c r="A19" s="25">
        <v>71159</v>
      </c>
      <c r="B19" s="25" t="s">
        <v>58</v>
      </c>
      <c r="C19" s="26">
        <v>49370</v>
      </c>
      <c r="D19" s="27">
        <v>15594262181.3015</v>
      </c>
      <c r="E19" s="27">
        <v>12214973588.5658</v>
      </c>
      <c r="F19" s="27">
        <v>3379288592.7357001</v>
      </c>
      <c r="G19" s="27">
        <f>VLOOKUP(A19,'[1]saldos al 26May26'!$C$2:$I$1010,7,FALSE)</f>
        <v>-207585985.68000001</v>
      </c>
      <c r="H19" s="27"/>
      <c r="I19" s="28" t="s">
        <v>27</v>
      </c>
      <c r="J19" s="29"/>
      <c r="K19" s="25" t="s">
        <v>29</v>
      </c>
      <c r="L19" s="25" t="s">
        <v>30</v>
      </c>
      <c r="M19" s="25" t="s">
        <v>59</v>
      </c>
      <c r="N19" s="25"/>
      <c r="O19" t="s">
        <v>45</v>
      </c>
      <c r="P19" s="32">
        <v>-1636093.4499999997</v>
      </c>
      <c r="Q19" s="30">
        <v>2725696.45</v>
      </c>
      <c r="R19" s="30">
        <v>37764</v>
      </c>
      <c r="S19" s="30" t="s">
        <v>33</v>
      </c>
      <c r="T19" t="s">
        <v>33</v>
      </c>
      <c r="U19" s="31" t="s">
        <v>33</v>
      </c>
      <c r="V19" t="s">
        <v>33</v>
      </c>
      <c r="W19"/>
      <c r="Y19" t="e">
        <f>VLOOKUP(A19,[2]!PRGX[[#All],[Proveedor]],1,FALSE)</f>
        <v>#REF!</v>
      </c>
      <c r="Z19">
        <v>71159</v>
      </c>
    </row>
    <row r="20" spans="1:26" x14ac:dyDescent="0.25">
      <c r="A20" s="25">
        <v>384362</v>
      </c>
      <c r="B20" s="25" t="s">
        <v>60</v>
      </c>
      <c r="C20" s="26">
        <v>9515</v>
      </c>
      <c r="D20" s="27">
        <v>209177467.55000001</v>
      </c>
      <c r="E20" s="27">
        <v>205585577.55000001</v>
      </c>
      <c r="F20" s="27">
        <v>3591890</v>
      </c>
      <c r="G20" s="27">
        <f>VLOOKUP(A20,'[1]saldos al 26May26'!$C$2:$I$1010,7,FALSE)</f>
        <v>-600301.59</v>
      </c>
      <c r="H20" s="27"/>
      <c r="I20" s="28"/>
      <c r="J20" s="29">
        <v>1859699.442293358</v>
      </c>
      <c r="K20" s="25" t="s">
        <v>40</v>
      </c>
      <c r="L20" s="25" t="s">
        <v>30</v>
      </c>
      <c r="M20" s="25" t="s">
        <v>61</v>
      </c>
      <c r="N20" s="25" t="s">
        <v>56</v>
      </c>
      <c r="O20" t="s">
        <v>56</v>
      </c>
      <c r="P20" s="32">
        <v>-312236.34000000003</v>
      </c>
      <c r="Q20" s="30">
        <v>684889.59999999998</v>
      </c>
      <c r="R20" s="30"/>
      <c r="S20" s="30">
        <v>0</v>
      </c>
      <c r="T20" t="s">
        <v>33</v>
      </c>
      <c r="U20" s="31" t="e">
        <v>#N/A</v>
      </c>
      <c r="V20" t="s">
        <v>33</v>
      </c>
      <c r="Y20" t="e">
        <f>VLOOKUP(A20,[2]!PRGX[[#All],[Proveedor]],1,FALSE)</f>
        <v>#REF!</v>
      </c>
    </row>
    <row r="21" spans="1:26" x14ac:dyDescent="0.25">
      <c r="A21" s="44">
        <v>15605</v>
      </c>
      <c r="B21" s="44" t="s">
        <v>62</v>
      </c>
      <c r="C21" s="45">
        <v>2163683</v>
      </c>
      <c r="D21" s="39">
        <v>13747200995.4804</v>
      </c>
      <c r="E21" s="39">
        <v>11901209614.537399</v>
      </c>
      <c r="F21" s="39">
        <v>1845991380.9430001</v>
      </c>
      <c r="G21" s="39">
        <f>VLOOKUP(A21,'[1]saldos al 26May26'!$C$2:$I$1010,7,FALSE)</f>
        <v>-4537032.8499999996</v>
      </c>
      <c r="H21" s="39"/>
      <c r="I21" s="46" t="s">
        <v>27</v>
      </c>
      <c r="J21" s="47"/>
      <c r="K21" s="44" t="s">
        <v>29</v>
      </c>
      <c r="L21" s="44" t="s">
        <v>30</v>
      </c>
      <c r="M21" s="25" t="s">
        <v>31</v>
      </c>
      <c r="N21" s="25"/>
      <c r="O21" s="43" t="s">
        <v>36</v>
      </c>
      <c r="P21" s="30">
        <v>2782422847.2500005</v>
      </c>
      <c r="Q21" s="30">
        <v>25918387.23</v>
      </c>
      <c r="R21" s="30">
        <v>6142953.0300000003</v>
      </c>
      <c r="S21" s="30" t="s">
        <v>63</v>
      </c>
      <c r="T21" t="s">
        <v>33</v>
      </c>
      <c r="U21" s="31" t="e">
        <v>#N/A</v>
      </c>
      <c r="V21" t="s">
        <v>34</v>
      </c>
      <c r="Y21" t="e">
        <f>VLOOKUP(A21,[2]!PRGX[[#All],[Proveedor]],1,FALSE)</f>
        <v>#REF!</v>
      </c>
      <c r="Z21">
        <v>15605</v>
      </c>
    </row>
    <row r="22" spans="1:26" x14ac:dyDescent="0.25">
      <c r="A22" s="25">
        <v>77305</v>
      </c>
      <c r="B22" s="25" t="s">
        <v>64</v>
      </c>
      <c r="C22" s="26">
        <v>10193935</v>
      </c>
      <c r="D22" s="27">
        <v>12722568847.065399</v>
      </c>
      <c r="E22" s="27">
        <v>11224791157.836498</v>
      </c>
      <c r="F22" s="27">
        <v>1497777689.2289</v>
      </c>
      <c r="G22" s="27">
        <f>VLOOKUP(A22,'[1]saldos al 26May26'!$C$2:$I$1010,7,FALSE)</f>
        <v>-141780218.12</v>
      </c>
      <c r="H22" s="27"/>
      <c r="I22" s="28" t="s">
        <v>27</v>
      </c>
      <c r="J22" s="29"/>
      <c r="K22" s="25" t="s">
        <v>29</v>
      </c>
      <c r="L22" s="25" t="s">
        <v>30</v>
      </c>
      <c r="M22" s="25" t="s">
        <v>31</v>
      </c>
      <c r="N22" s="25"/>
      <c r="O22" t="s">
        <v>38</v>
      </c>
      <c r="P22" s="30">
        <v>197001744.69</v>
      </c>
      <c r="Q22" s="30">
        <v>64368613.309999995</v>
      </c>
      <c r="R22" s="30">
        <v>835615.3</v>
      </c>
      <c r="S22" s="30" t="s">
        <v>33</v>
      </c>
      <c r="T22" t="s">
        <v>33</v>
      </c>
      <c r="U22" s="31" t="e">
        <v>#N/A</v>
      </c>
      <c r="V22" t="s">
        <v>34</v>
      </c>
      <c r="Y22" t="e">
        <f>VLOOKUP(A22,[2]!PRGX[[#All],[Proveedor]],1,FALSE)</f>
        <v>#REF!</v>
      </c>
      <c r="Z22">
        <v>77305</v>
      </c>
    </row>
    <row r="23" spans="1:26" x14ac:dyDescent="0.25">
      <c r="A23" s="25">
        <v>64337</v>
      </c>
      <c r="B23" s="25" t="s">
        <v>65</v>
      </c>
      <c r="C23" s="26">
        <v>1142548</v>
      </c>
      <c r="D23" s="27">
        <v>10434789405.0639</v>
      </c>
      <c r="E23" s="27">
        <v>8622567839.7264004</v>
      </c>
      <c r="F23" s="27">
        <v>1812221565.3375001</v>
      </c>
      <c r="G23" s="27">
        <f>VLOOKUP(A23,'[1]saldos al 26May26'!$C$2:$I$1010,7,FALSE)</f>
        <v>-596629898.51999998</v>
      </c>
      <c r="H23" s="27"/>
      <c r="I23" s="28" t="s">
        <v>27</v>
      </c>
      <c r="J23" s="29"/>
      <c r="K23" s="25" t="s">
        <v>29</v>
      </c>
      <c r="L23" s="25" t="s">
        <v>30</v>
      </c>
      <c r="M23" s="25" t="s">
        <v>50</v>
      </c>
      <c r="N23" s="25"/>
      <c r="O23" t="s">
        <v>36</v>
      </c>
      <c r="P23" s="30">
        <v>69754288.400000006</v>
      </c>
      <c r="Q23" s="30">
        <v>77495199.919999987</v>
      </c>
      <c r="R23" s="30">
        <v>23638741.07</v>
      </c>
      <c r="S23" s="30" t="s">
        <v>33</v>
      </c>
      <c r="T23" t="s">
        <v>33</v>
      </c>
      <c r="U23" s="31" t="e">
        <v>#N/A</v>
      </c>
      <c r="V23" t="s">
        <v>34</v>
      </c>
      <c r="Y23" t="e">
        <f>VLOOKUP(A23,[2]!PRGX[[#All],[Proveedor]],1,FALSE)</f>
        <v>#REF!</v>
      </c>
      <c r="Z23">
        <v>64337</v>
      </c>
    </row>
    <row r="24" spans="1:26" x14ac:dyDescent="0.25">
      <c r="A24" s="25">
        <v>7930</v>
      </c>
      <c r="B24" s="25" t="s">
        <v>66</v>
      </c>
      <c r="C24" s="26">
        <v>3696829</v>
      </c>
      <c r="D24" s="27">
        <v>9723596816.4848995</v>
      </c>
      <c r="E24" s="27">
        <v>9723493092.3248997</v>
      </c>
      <c r="F24" s="27">
        <v>103724.16</v>
      </c>
      <c r="G24" s="27">
        <f>VLOOKUP(A24,'[1]saldos al 26May26'!$C$2:$I$1010,7,FALSE)</f>
        <v>51403.46</v>
      </c>
      <c r="H24" s="39" t="s">
        <v>54</v>
      </c>
      <c r="I24" s="28" t="s">
        <v>27</v>
      </c>
      <c r="J24" s="29"/>
      <c r="K24" s="25" t="s">
        <v>29</v>
      </c>
      <c r="L24" s="25" t="s">
        <v>30</v>
      </c>
      <c r="M24" s="25" t="s">
        <v>55</v>
      </c>
      <c r="N24" s="25"/>
      <c r="O24" t="s">
        <v>67</v>
      </c>
      <c r="P24" s="32">
        <v>-50692893.530000001</v>
      </c>
      <c r="Q24" s="30">
        <v>4049345.37</v>
      </c>
      <c r="R24" s="30">
        <v>10770.1</v>
      </c>
      <c r="S24" s="30" t="s">
        <v>33</v>
      </c>
      <c r="T24" t="s">
        <v>33</v>
      </c>
      <c r="U24" s="31" t="e">
        <v>#N/A</v>
      </c>
      <c r="V24" t="s">
        <v>34</v>
      </c>
      <c r="Y24" t="e">
        <f>VLOOKUP(A24,[2]!PRGX[[#All],[Proveedor]],1,FALSE)</f>
        <v>#REF!</v>
      </c>
      <c r="Z24">
        <v>7930</v>
      </c>
    </row>
    <row r="25" spans="1:26" x14ac:dyDescent="0.25">
      <c r="A25" s="25">
        <v>304882</v>
      </c>
      <c r="B25" s="25" t="s">
        <v>68</v>
      </c>
      <c r="C25" s="26">
        <v>868791</v>
      </c>
      <c r="D25" s="27">
        <v>9317080428.1679993</v>
      </c>
      <c r="E25" s="27">
        <v>6851782067.5759993</v>
      </c>
      <c r="F25" s="27">
        <v>2465298360.592</v>
      </c>
      <c r="G25" s="27">
        <f>VLOOKUP(A25,'[1]saldos al 26May26'!$C$2:$I$1010,7,FALSE)</f>
        <v>-250516611.86000001</v>
      </c>
      <c r="H25" s="27"/>
      <c r="I25" s="28" t="s">
        <v>27</v>
      </c>
      <c r="J25" s="29"/>
      <c r="K25" s="25" t="s">
        <v>29</v>
      </c>
      <c r="L25" s="25" t="s">
        <v>30</v>
      </c>
      <c r="M25" s="25" t="s">
        <v>59</v>
      </c>
      <c r="N25" s="25"/>
      <c r="O25" t="s">
        <v>45</v>
      </c>
      <c r="P25" s="32">
        <v>-15183095.389999999</v>
      </c>
      <c r="Q25" s="30">
        <v>859537.43</v>
      </c>
      <c r="R25" s="30">
        <v>3391940.73</v>
      </c>
      <c r="S25" s="30" t="s">
        <v>63</v>
      </c>
      <c r="T25" t="s">
        <v>33</v>
      </c>
      <c r="U25" s="31" t="e">
        <v>#N/A</v>
      </c>
      <c r="V25" t="s">
        <v>34</v>
      </c>
      <c r="Y25" t="e">
        <f>VLOOKUP(A25,[2]!PRGX[[#All],[Proveedor]],1,FALSE)</f>
        <v>#REF!</v>
      </c>
      <c r="Z25">
        <v>304882</v>
      </c>
    </row>
    <row r="26" spans="1:26" x14ac:dyDescent="0.25">
      <c r="A26" s="25">
        <v>68155</v>
      </c>
      <c r="B26" s="25" t="s">
        <v>69</v>
      </c>
      <c r="C26" s="26">
        <v>107782</v>
      </c>
      <c r="D26" s="27">
        <v>8972152040.5540009</v>
      </c>
      <c r="E26" s="27">
        <v>8620302963.3770008</v>
      </c>
      <c r="F26" s="27">
        <v>351849077.17699999</v>
      </c>
      <c r="G26" s="27">
        <f>VLOOKUP(A26,'[1]saldos al 26May26'!$C$2:$I$1010,7,FALSE)</f>
        <v>-15496363.17</v>
      </c>
      <c r="H26" s="27"/>
      <c r="I26" s="28" t="s">
        <v>27</v>
      </c>
      <c r="J26" s="29"/>
      <c r="K26" s="25" t="s">
        <v>29</v>
      </c>
      <c r="L26" s="25" t="s">
        <v>30</v>
      </c>
      <c r="M26" s="25" t="s">
        <v>31</v>
      </c>
      <c r="N26" s="25"/>
      <c r="O26" t="s">
        <v>70</v>
      </c>
      <c r="P26" s="32">
        <v>-10389469.239999998</v>
      </c>
      <c r="Q26" s="30">
        <v>194788.81</v>
      </c>
      <c r="R26" s="30">
        <v>27558</v>
      </c>
      <c r="S26" s="30" t="s">
        <v>63</v>
      </c>
      <c r="T26" t="s">
        <v>33</v>
      </c>
      <c r="U26" s="31" t="e">
        <v>#N/A</v>
      </c>
      <c r="V26" t="s">
        <v>34</v>
      </c>
      <c r="Y26" t="e">
        <f>VLOOKUP(A26,[2]!PRGX[[#All],[Proveedor]],1,FALSE)</f>
        <v>#REF!</v>
      </c>
      <c r="Z26">
        <v>68155</v>
      </c>
    </row>
    <row r="27" spans="1:26" x14ac:dyDescent="0.25">
      <c r="A27" s="25">
        <v>96008</v>
      </c>
      <c r="B27" s="25" t="s">
        <v>71</v>
      </c>
      <c r="C27" s="26">
        <v>11490331</v>
      </c>
      <c r="D27" s="27">
        <v>8957472393.2458</v>
      </c>
      <c r="E27" s="27">
        <v>7775922621.9347</v>
      </c>
      <c r="F27" s="27">
        <v>1181549771.3111</v>
      </c>
      <c r="G27" s="27">
        <f>VLOOKUP(A27,'[1]saldos al 26May26'!$C$2:$I$1010,7,FALSE)</f>
        <v>-39388927.32</v>
      </c>
      <c r="H27" s="27"/>
      <c r="I27" s="28" t="s">
        <v>27</v>
      </c>
      <c r="J27" s="29"/>
      <c r="K27" s="25" t="s">
        <v>29</v>
      </c>
      <c r="L27" s="25" t="s">
        <v>30</v>
      </c>
      <c r="M27" s="25" t="s">
        <v>31</v>
      </c>
      <c r="N27" s="25"/>
      <c r="O27" t="s">
        <v>38</v>
      </c>
      <c r="P27" s="30">
        <v>655642757.42999995</v>
      </c>
      <c r="Q27" s="30">
        <v>-16443439.289999999</v>
      </c>
      <c r="R27" s="30">
        <v>273394.28000000003</v>
      </c>
      <c r="S27" s="30">
        <v>0</v>
      </c>
      <c r="T27" t="s">
        <v>33</v>
      </c>
      <c r="U27" s="31" t="e">
        <v>#N/A</v>
      </c>
      <c r="V27" t="s">
        <v>34</v>
      </c>
      <c r="Y27" t="e">
        <f>VLOOKUP(A27,[2]!PRGX[[#All],[Proveedor]],1,FALSE)</f>
        <v>#REF!</v>
      </c>
      <c r="Z27">
        <v>96008</v>
      </c>
    </row>
    <row r="28" spans="1:26" x14ac:dyDescent="0.25">
      <c r="A28" s="25">
        <v>24059</v>
      </c>
      <c r="B28" s="25" t="s">
        <v>39</v>
      </c>
      <c r="C28" s="26">
        <v>468862</v>
      </c>
      <c r="D28" s="27">
        <v>8038550216.3435001</v>
      </c>
      <c r="E28" s="27">
        <v>6557216042.7030001</v>
      </c>
      <c r="F28" s="27">
        <v>1481334173.6405001</v>
      </c>
      <c r="G28" s="27">
        <f>VLOOKUP(A28,'[1]saldos al 26May26'!$C$2:$I$1010,7,FALSE)</f>
        <v>-285944398.26999998</v>
      </c>
      <c r="H28" s="27"/>
      <c r="I28" s="28" t="s">
        <v>27</v>
      </c>
      <c r="J28" s="29"/>
      <c r="K28" s="25" t="s">
        <v>29</v>
      </c>
      <c r="L28" s="25" t="s">
        <v>30</v>
      </c>
      <c r="M28" s="25" t="s">
        <v>31</v>
      </c>
      <c r="N28" s="25"/>
      <c r="O28" t="s">
        <v>51</v>
      </c>
      <c r="P28" s="30">
        <v>50340421.07</v>
      </c>
      <c r="Q28" s="30">
        <v>8492642.4900000002</v>
      </c>
      <c r="R28" s="30">
        <v>1556204.33</v>
      </c>
      <c r="S28" s="30" t="s">
        <v>33</v>
      </c>
      <c r="T28" t="s">
        <v>33</v>
      </c>
      <c r="U28" s="31" t="e">
        <v>#N/A</v>
      </c>
      <c r="V28" t="s">
        <v>34</v>
      </c>
      <c r="Y28" t="e">
        <f>VLOOKUP(A28,[2]!PRGX[[#All],[Proveedor]],1,FALSE)</f>
        <v>#REF!</v>
      </c>
      <c r="Z28">
        <v>24059</v>
      </c>
    </row>
    <row r="29" spans="1:26" x14ac:dyDescent="0.25">
      <c r="A29" s="25">
        <v>381970</v>
      </c>
      <c r="B29" s="25" t="s">
        <v>72</v>
      </c>
      <c r="C29" s="26">
        <v>10017080</v>
      </c>
      <c r="D29" s="27">
        <v>7987764058.6835003</v>
      </c>
      <c r="E29" s="27">
        <v>6628398585.6128998</v>
      </c>
      <c r="F29" s="27">
        <v>1359365473.0706</v>
      </c>
      <c r="G29" s="27">
        <f>VLOOKUP(A29,'[1]saldos al 26May26'!$C$2:$I$1010,7,FALSE)</f>
        <v>-215822140.81</v>
      </c>
      <c r="H29" s="27"/>
      <c r="I29" s="28" t="s">
        <v>27</v>
      </c>
      <c r="J29" s="29">
        <v>23326.14</v>
      </c>
      <c r="K29" s="25" t="s">
        <v>29</v>
      </c>
      <c r="L29" s="25" t="s">
        <v>30</v>
      </c>
      <c r="M29" s="25" t="s">
        <v>55</v>
      </c>
      <c r="N29" s="25"/>
      <c r="O29" t="s">
        <v>41</v>
      </c>
      <c r="P29" s="30">
        <v>1674783226.2599998</v>
      </c>
      <c r="Q29" s="30">
        <v>-20282281</v>
      </c>
      <c r="R29" s="30">
        <v>20568.41</v>
      </c>
      <c r="S29" s="30" t="s">
        <v>33</v>
      </c>
      <c r="T29" t="s">
        <v>33</v>
      </c>
      <c r="U29" s="31">
        <v>0</v>
      </c>
      <c r="V29" t="s">
        <v>42</v>
      </c>
      <c r="Y29" t="e">
        <f>VLOOKUP(A29,[2]!PRGX[[#All],[Proveedor]],1,FALSE)</f>
        <v>#REF!</v>
      </c>
      <c r="Z29">
        <v>381970</v>
      </c>
    </row>
    <row r="30" spans="1:26" x14ac:dyDescent="0.25">
      <c r="A30" s="25">
        <v>20073</v>
      </c>
      <c r="B30" s="25" t="s">
        <v>73</v>
      </c>
      <c r="C30" s="26">
        <v>204886</v>
      </c>
      <c r="D30" s="27">
        <v>7649620288.3577003</v>
      </c>
      <c r="E30" s="27">
        <v>6096577480.8502007</v>
      </c>
      <c r="F30" s="27">
        <v>1553042807.5074999</v>
      </c>
      <c r="G30" s="27">
        <f>VLOOKUP(A30,'[1]saldos al 26May26'!$C$2:$I$1010,7,FALSE)</f>
        <v>-309714193.30000001</v>
      </c>
      <c r="H30" s="27"/>
      <c r="I30" s="28" t="s">
        <v>27</v>
      </c>
      <c r="J30" s="29"/>
      <c r="K30" s="25" t="s">
        <v>29</v>
      </c>
      <c r="L30" s="25" t="s">
        <v>30</v>
      </c>
      <c r="M30" s="25" t="s">
        <v>59</v>
      </c>
      <c r="N30" s="25"/>
      <c r="O30" t="s">
        <v>51</v>
      </c>
      <c r="P30" s="30">
        <v>95419309.25</v>
      </c>
      <c r="Q30" s="30">
        <v>91614822.170000002</v>
      </c>
      <c r="R30" s="30"/>
      <c r="S30" s="30" t="s">
        <v>33</v>
      </c>
      <c r="T30" t="s">
        <v>33</v>
      </c>
      <c r="U30" s="31" t="e">
        <v>#N/A</v>
      </c>
      <c r="V30" t="s">
        <v>34</v>
      </c>
      <c r="Y30" t="e">
        <f>VLOOKUP(A30,[2]!PRGX[[#All],[Proveedor]],1,FALSE)</f>
        <v>#REF!</v>
      </c>
      <c r="Z30">
        <v>20073</v>
      </c>
    </row>
    <row r="31" spans="1:26" x14ac:dyDescent="0.25">
      <c r="A31" s="25">
        <v>93591</v>
      </c>
      <c r="B31" s="25" t="s">
        <v>74</v>
      </c>
      <c r="C31" s="26">
        <v>1454343</v>
      </c>
      <c r="D31" s="27">
        <v>7613270468.8115997</v>
      </c>
      <c r="E31" s="27">
        <v>6023265485.6955996</v>
      </c>
      <c r="F31" s="27">
        <v>1590004983.1159999</v>
      </c>
      <c r="G31" s="27">
        <f>VLOOKUP(A31,'[1]saldos al 26May26'!$C$2:$I$1010,7,FALSE)</f>
        <v>-122448400.87</v>
      </c>
      <c r="H31" s="27"/>
      <c r="I31" s="28" t="s">
        <v>27</v>
      </c>
      <c r="J31" s="29"/>
      <c r="K31" s="25" t="s">
        <v>29</v>
      </c>
      <c r="L31" s="25" t="s">
        <v>30</v>
      </c>
      <c r="M31" s="25" t="s">
        <v>31</v>
      </c>
      <c r="N31" s="25"/>
      <c r="O31" t="s">
        <v>51</v>
      </c>
      <c r="P31" s="30">
        <v>583663181.21000004</v>
      </c>
      <c r="Q31" s="30">
        <v>4968482.3199999994</v>
      </c>
      <c r="R31" s="30">
        <v>3133173.58</v>
      </c>
      <c r="S31" s="30" t="s">
        <v>63</v>
      </c>
      <c r="T31" t="s">
        <v>33</v>
      </c>
      <c r="U31" s="31" t="e">
        <v>#N/A</v>
      </c>
      <c r="V31" t="s">
        <v>34</v>
      </c>
      <c r="Y31" t="e">
        <f>VLOOKUP(A31,[2]!PRGX[[#All],[Proveedor]],1,FALSE)</f>
        <v>#REF!</v>
      </c>
      <c r="Z31">
        <v>93591</v>
      </c>
    </row>
    <row r="32" spans="1:26" x14ac:dyDescent="0.25">
      <c r="A32" s="25">
        <v>210872</v>
      </c>
      <c r="B32" s="25" t="s">
        <v>75</v>
      </c>
      <c r="C32" s="26">
        <v>3409912</v>
      </c>
      <c r="D32" s="27">
        <v>7491833330.1526003</v>
      </c>
      <c r="E32" s="27">
        <v>6273082789.2350006</v>
      </c>
      <c r="F32" s="27">
        <v>1218750540.9175999</v>
      </c>
      <c r="G32" s="27">
        <f>VLOOKUP(A32,'[1]saldos al 26May26'!$C$2:$I$1010,7,FALSE)</f>
        <v>-108829827.69</v>
      </c>
      <c r="H32" s="27"/>
      <c r="I32" s="28" t="s">
        <v>27</v>
      </c>
      <c r="J32" s="29"/>
      <c r="K32" s="25" t="s">
        <v>29</v>
      </c>
      <c r="L32" s="25" t="s">
        <v>30</v>
      </c>
      <c r="M32" s="25" t="s">
        <v>59</v>
      </c>
      <c r="N32" s="25"/>
      <c r="O32" t="s">
        <v>38</v>
      </c>
      <c r="P32" s="30">
        <v>186414769.34</v>
      </c>
      <c r="Q32" s="30">
        <v>24656822.16</v>
      </c>
      <c r="R32" s="30">
        <v>203117.2</v>
      </c>
      <c r="S32" s="30" t="s">
        <v>33</v>
      </c>
      <c r="T32" t="s">
        <v>33</v>
      </c>
      <c r="U32" s="31" t="e">
        <v>#N/A</v>
      </c>
      <c r="V32" t="s">
        <v>34</v>
      </c>
      <c r="Y32" t="e">
        <f>VLOOKUP(A32,[2]!PRGX[[#All],[Proveedor]],1,FALSE)</f>
        <v>#REF!</v>
      </c>
      <c r="Z32">
        <v>210872</v>
      </c>
    </row>
    <row r="33" spans="1:26" x14ac:dyDescent="0.25">
      <c r="A33" s="25">
        <v>40055</v>
      </c>
      <c r="B33" s="25" t="s">
        <v>76</v>
      </c>
      <c r="C33" s="26">
        <v>565294</v>
      </c>
      <c r="D33" s="27">
        <v>7343431695.0488997</v>
      </c>
      <c r="E33" s="27">
        <v>6214055007.3339996</v>
      </c>
      <c r="F33" s="27">
        <v>1129376687.7149</v>
      </c>
      <c r="G33" s="27">
        <f>VLOOKUP(A33,'[1]saldos al 26May26'!$C$2:$I$1010,7,FALSE)</f>
        <v>-209016006.47999999</v>
      </c>
      <c r="H33" s="27"/>
      <c r="I33" s="28" t="s">
        <v>27</v>
      </c>
      <c r="J33" s="29"/>
      <c r="K33" s="25" t="s">
        <v>29</v>
      </c>
      <c r="L33" s="25" t="s">
        <v>30</v>
      </c>
      <c r="M33" s="25" t="s">
        <v>59</v>
      </c>
      <c r="N33" s="25"/>
      <c r="O33" t="s">
        <v>45</v>
      </c>
      <c r="P33" s="32">
        <v>-8197957.4700000007</v>
      </c>
      <c r="Q33" s="30">
        <v>23304684.290000003</v>
      </c>
      <c r="R33" s="30">
        <v>494977.93</v>
      </c>
      <c r="S33" s="30">
        <v>0</v>
      </c>
      <c r="T33" t="s">
        <v>33</v>
      </c>
      <c r="U33" s="31" t="e">
        <v>#N/A</v>
      </c>
      <c r="V33" t="s">
        <v>34</v>
      </c>
      <c r="Y33" t="e">
        <f>VLOOKUP(A33,[2]!PRGX[[#All],[Proveedor]],1,FALSE)</f>
        <v>#REF!</v>
      </c>
      <c r="Z33">
        <v>40055</v>
      </c>
    </row>
    <row r="34" spans="1:26" x14ac:dyDescent="0.25">
      <c r="A34" s="25">
        <v>75390</v>
      </c>
      <c r="B34" s="25" t="s">
        <v>77</v>
      </c>
      <c r="C34" s="26">
        <v>63622</v>
      </c>
      <c r="D34" s="27">
        <v>6355524708.8100004</v>
      </c>
      <c r="E34" s="27">
        <v>5571806196.9800005</v>
      </c>
      <c r="F34" s="27">
        <v>783718511.83000004</v>
      </c>
      <c r="G34" s="27">
        <f>VLOOKUP(A34,'[1]saldos al 26May26'!$C$2:$I$1010,7,FALSE)</f>
        <v>-146386737.38</v>
      </c>
      <c r="H34" s="27"/>
      <c r="I34" s="28" t="s">
        <v>27</v>
      </c>
      <c r="J34" s="29"/>
      <c r="K34" s="25" t="s">
        <v>29</v>
      </c>
      <c r="L34" s="25" t="s">
        <v>30</v>
      </c>
      <c r="M34" s="25" t="s">
        <v>59</v>
      </c>
      <c r="N34" s="25"/>
      <c r="O34" t="s">
        <v>36</v>
      </c>
      <c r="P34" s="30">
        <v>15449638.549999999</v>
      </c>
      <c r="Q34" s="30">
        <v>24465109.100000001</v>
      </c>
      <c r="R34" s="30">
        <v>504729.32</v>
      </c>
      <c r="S34" s="30" t="s">
        <v>33</v>
      </c>
      <c r="T34" t="s">
        <v>33</v>
      </c>
      <c r="U34" s="31">
        <v>0</v>
      </c>
      <c r="V34" t="s">
        <v>42</v>
      </c>
      <c r="Y34" t="e">
        <f>VLOOKUP(A34,[2]!PRGX[[#All],[Proveedor]],1,FALSE)</f>
        <v>#REF!</v>
      </c>
      <c r="Z34">
        <v>75390</v>
      </c>
    </row>
    <row r="35" spans="1:26" x14ac:dyDescent="0.25">
      <c r="A35" s="25">
        <v>98038</v>
      </c>
      <c r="B35" s="25" t="s">
        <v>78</v>
      </c>
      <c r="C35" s="26">
        <v>10358957</v>
      </c>
      <c r="D35" s="27">
        <v>6289065185.7854996</v>
      </c>
      <c r="E35" s="27">
        <v>5391380156.4891996</v>
      </c>
      <c r="F35" s="27">
        <v>897685029.29630005</v>
      </c>
      <c r="G35" s="27">
        <f>VLOOKUP(A35,'[1]saldos al 26May26'!$C$2:$I$1010,7,FALSE)</f>
        <v>-67755493.370000005</v>
      </c>
      <c r="H35" s="27"/>
      <c r="I35" s="28" t="s">
        <v>27</v>
      </c>
      <c r="J35" s="29"/>
      <c r="K35" s="25" t="s">
        <v>40</v>
      </c>
      <c r="L35" s="25" t="s">
        <v>30</v>
      </c>
      <c r="M35" s="25" t="s">
        <v>59</v>
      </c>
      <c r="N35" s="25" t="s">
        <v>41</v>
      </c>
      <c r="O35" t="s">
        <v>41</v>
      </c>
      <c r="P35" s="30">
        <v>469746460.70999998</v>
      </c>
      <c r="Q35" s="30">
        <v>-11047627.239999998</v>
      </c>
      <c r="R35" s="30"/>
      <c r="S35" s="30" t="s">
        <v>33</v>
      </c>
      <c r="T35" t="s">
        <v>33</v>
      </c>
      <c r="U35" s="31" t="s">
        <v>33</v>
      </c>
      <c r="V35" t="s">
        <v>33</v>
      </c>
      <c r="Y35" t="e">
        <f>VLOOKUP(A35,[2]!PRGX[[#All],[Proveedor]],1,FALSE)</f>
        <v>#REF!</v>
      </c>
      <c r="Z35">
        <v>98038</v>
      </c>
    </row>
    <row r="36" spans="1:26" x14ac:dyDescent="0.25">
      <c r="A36" s="25">
        <v>66738</v>
      </c>
      <c r="B36" s="25" t="s">
        <v>79</v>
      </c>
      <c r="C36" s="26">
        <v>943776</v>
      </c>
      <c r="D36" s="27">
        <v>6164490484.9844999</v>
      </c>
      <c r="E36" s="27">
        <v>5075137783.6768999</v>
      </c>
      <c r="F36" s="27">
        <v>1089352701.3076</v>
      </c>
      <c r="G36" s="27">
        <f>VLOOKUP(A36,'[1]saldos al 26May26'!$C$2:$I$1010,7,FALSE)</f>
        <v>-57630117.799999997</v>
      </c>
      <c r="H36" s="27"/>
      <c r="I36" s="28" t="s">
        <v>27</v>
      </c>
      <c r="J36" s="29"/>
      <c r="K36" s="25" t="s">
        <v>29</v>
      </c>
      <c r="L36" s="25" t="s">
        <v>30</v>
      </c>
      <c r="M36" s="25" t="s">
        <v>31</v>
      </c>
      <c r="N36" s="25"/>
      <c r="O36" t="s">
        <v>80</v>
      </c>
      <c r="P36" s="30">
        <v>10525773.280000001</v>
      </c>
      <c r="Q36" s="30">
        <v>-9840604.6300000008</v>
      </c>
      <c r="R36" s="30">
        <v>3300000</v>
      </c>
      <c r="S36" s="30" t="s">
        <v>63</v>
      </c>
      <c r="T36" t="s">
        <v>33</v>
      </c>
      <c r="U36" s="31" t="e">
        <v>#N/A</v>
      </c>
      <c r="V36" t="s">
        <v>34</v>
      </c>
      <c r="Y36" t="e">
        <f>VLOOKUP(A36,[2]!PRGX[[#All],[Proveedor]],1,FALSE)</f>
        <v>#REF!</v>
      </c>
      <c r="Z36">
        <v>66738</v>
      </c>
    </row>
    <row r="37" spans="1:26" x14ac:dyDescent="0.25">
      <c r="A37" s="25">
        <v>341255</v>
      </c>
      <c r="B37" s="25" t="s">
        <v>81</v>
      </c>
      <c r="C37" s="26">
        <v>14043</v>
      </c>
      <c r="D37" s="27">
        <v>6153422917.9692001</v>
      </c>
      <c r="E37" s="27">
        <v>6061288915.5307999</v>
      </c>
      <c r="F37" s="27">
        <v>92134002.4384</v>
      </c>
      <c r="G37" s="27">
        <f>VLOOKUP(A37,'[1]saldos al 26May26'!$C$2:$I$1010,7,FALSE)</f>
        <v>-3751537.61</v>
      </c>
      <c r="H37" s="27"/>
      <c r="I37" s="28" t="s">
        <v>27</v>
      </c>
      <c r="J37" s="29"/>
      <c r="K37" s="25" t="s">
        <v>29</v>
      </c>
      <c r="L37" s="25" t="s">
        <v>30</v>
      </c>
      <c r="M37" s="25" t="s">
        <v>59</v>
      </c>
      <c r="N37" s="25"/>
      <c r="O37" t="s">
        <v>67</v>
      </c>
      <c r="P37" s="32">
        <v>-2082093.73</v>
      </c>
      <c r="Q37" s="30">
        <v>0</v>
      </c>
      <c r="R37" s="30"/>
      <c r="S37" s="30" t="s">
        <v>33</v>
      </c>
      <c r="T37" t="s">
        <v>33</v>
      </c>
      <c r="U37" s="31" t="e">
        <v>#N/A</v>
      </c>
      <c r="V37" t="s">
        <v>34</v>
      </c>
      <c r="Y37" t="e">
        <f>VLOOKUP(A37,[2]!PRGX[[#All],[Proveedor]],1,FALSE)</f>
        <v>#REF!</v>
      </c>
      <c r="Z37">
        <v>341255</v>
      </c>
    </row>
    <row r="38" spans="1:26" x14ac:dyDescent="0.25">
      <c r="A38" s="25">
        <v>83063</v>
      </c>
      <c r="B38" s="25" t="s">
        <v>82</v>
      </c>
      <c r="C38" s="26">
        <v>37973857</v>
      </c>
      <c r="D38" s="27">
        <v>5987963200.4018002</v>
      </c>
      <c r="E38" s="27">
        <v>5018106382.3361998</v>
      </c>
      <c r="F38" s="27">
        <v>969856818.06560004</v>
      </c>
      <c r="G38" s="27">
        <f>VLOOKUP(A38,'[1]saldos al 26May26'!$C$2:$I$1010,7,FALSE)</f>
        <v>-202153487.66999999</v>
      </c>
      <c r="H38" s="27"/>
      <c r="I38" s="28" t="s">
        <v>27</v>
      </c>
      <c r="J38" s="29"/>
      <c r="K38" s="25" t="s">
        <v>29</v>
      </c>
      <c r="L38" s="25" t="s">
        <v>30</v>
      </c>
      <c r="M38" s="25" t="s">
        <v>31</v>
      </c>
      <c r="N38" s="25"/>
      <c r="O38" t="s">
        <v>36</v>
      </c>
      <c r="P38" s="30">
        <v>84416202.020000011</v>
      </c>
      <c r="Q38" s="30">
        <v>-1096603.740000003</v>
      </c>
      <c r="R38" s="30"/>
      <c r="S38" s="30" t="s">
        <v>33</v>
      </c>
      <c r="T38" t="s">
        <v>33</v>
      </c>
      <c r="U38" s="31" t="e">
        <v>#N/A</v>
      </c>
      <c r="V38" t="s">
        <v>34</v>
      </c>
      <c r="Y38" t="e">
        <f>VLOOKUP(A38,[2]!PRGX[[#All],[Proveedor]],1,FALSE)</f>
        <v>#REF!</v>
      </c>
      <c r="Z38">
        <v>83063</v>
      </c>
    </row>
    <row r="39" spans="1:26" x14ac:dyDescent="0.25">
      <c r="A39" s="25">
        <v>64162</v>
      </c>
      <c r="B39" s="25" t="s">
        <v>83</v>
      </c>
      <c r="C39" s="26">
        <v>527525</v>
      </c>
      <c r="D39" s="27">
        <v>5983291903.5150003</v>
      </c>
      <c r="E39" s="27">
        <v>4849350310.941</v>
      </c>
      <c r="F39" s="27">
        <v>1133941592.5739999</v>
      </c>
      <c r="G39" s="27">
        <f>VLOOKUP(A39,'[1]saldos al 26May26'!$C$2:$I$1010,7,FALSE)</f>
        <v>-294158963.25</v>
      </c>
      <c r="H39" s="27"/>
      <c r="I39" s="28" t="s">
        <v>27</v>
      </c>
      <c r="J39" s="29">
        <v>2693340.9809526391</v>
      </c>
      <c r="K39" s="25" t="s">
        <v>29</v>
      </c>
      <c r="L39" s="25" t="s">
        <v>30</v>
      </c>
      <c r="M39" s="25" t="s">
        <v>59</v>
      </c>
      <c r="N39" s="25"/>
      <c r="O39" t="s">
        <v>36</v>
      </c>
      <c r="P39" s="30">
        <v>53814776.670000002</v>
      </c>
      <c r="Q39" s="30">
        <v>9174018.6999999993</v>
      </c>
      <c r="R39" s="30">
        <v>56000</v>
      </c>
      <c r="S39" s="30" t="s">
        <v>33</v>
      </c>
      <c r="T39" t="s">
        <v>33</v>
      </c>
      <c r="U39" s="31" t="e">
        <v>#N/A</v>
      </c>
      <c r="V39" t="s">
        <v>34</v>
      </c>
      <c r="Y39" t="e">
        <f>VLOOKUP(A39,[2]!PRGX[[#All],[Proveedor]],1,FALSE)</f>
        <v>#REF!</v>
      </c>
      <c r="Z39">
        <v>64162</v>
      </c>
    </row>
    <row r="40" spans="1:26" x14ac:dyDescent="0.25">
      <c r="A40" s="25">
        <v>82370</v>
      </c>
      <c r="B40" s="25" t="s">
        <v>84</v>
      </c>
      <c r="C40" s="26">
        <v>598920</v>
      </c>
      <c r="D40" s="27">
        <v>5966265813.5827999</v>
      </c>
      <c r="E40" s="27">
        <v>5301778772.0980997</v>
      </c>
      <c r="F40" s="27">
        <v>664487041.48469996</v>
      </c>
      <c r="G40" s="27">
        <f>VLOOKUP(A40,'[1]saldos al 26May26'!$C$2:$I$1010,7,FALSE)</f>
        <v>-95734180.329999998</v>
      </c>
      <c r="H40" s="27"/>
      <c r="I40" s="28" t="s">
        <v>27</v>
      </c>
      <c r="J40" s="29"/>
      <c r="K40" s="25" t="s">
        <v>29</v>
      </c>
      <c r="L40" s="25" t="s">
        <v>30</v>
      </c>
      <c r="M40" s="25" t="s">
        <v>31</v>
      </c>
      <c r="N40" s="25"/>
      <c r="O40" t="s">
        <v>32</v>
      </c>
      <c r="P40" s="32">
        <v>-2084415.6099999996</v>
      </c>
      <c r="Q40" s="30">
        <v>17008683.66</v>
      </c>
      <c r="R40" s="30">
        <v>1000000</v>
      </c>
      <c r="S40" s="30" t="s">
        <v>63</v>
      </c>
      <c r="T40" t="s">
        <v>33</v>
      </c>
      <c r="U40" s="31" t="s">
        <v>33</v>
      </c>
      <c r="V40" t="s">
        <v>33</v>
      </c>
      <c r="Y40" t="e">
        <f>VLOOKUP(A40,[2]!PRGX[[#All],[Proveedor]],1,FALSE)</f>
        <v>#REF!</v>
      </c>
      <c r="Z40">
        <v>82370</v>
      </c>
    </row>
    <row r="41" spans="1:26" x14ac:dyDescent="0.25">
      <c r="A41" s="25">
        <v>15461</v>
      </c>
      <c r="B41" s="25" t="s">
        <v>85</v>
      </c>
      <c r="C41" s="26">
        <v>6284681</v>
      </c>
      <c r="D41" s="27">
        <v>5942315094.4976997</v>
      </c>
      <c r="E41" s="27">
        <v>4910496691.9514999</v>
      </c>
      <c r="F41" s="27">
        <v>1031818402.5462</v>
      </c>
      <c r="G41" s="27">
        <f>VLOOKUP(A41,'[1]saldos al 26May26'!$C$2:$I$1010,7,FALSE)</f>
        <v>-64118098.789999999</v>
      </c>
      <c r="H41" s="27"/>
      <c r="I41" s="28" t="s">
        <v>27</v>
      </c>
      <c r="J41" s="29"/>
      <c r="K41" s="25" t="s">
        <v>29</v>
      </c>
      <c r="L41" s="25" t="s">
        <v>30</v>
      </c>
      <c r="M41" s="25" t="s">
        <v>59</v>
      </c>
      <c r="N41" s="25"/>
      <c r="O41" t="s">
        <v>38</v>
      </c>
      <c r="P41" s="30">
        <v>44574311.100000001</v>
      </c>
      <c r="Q41" s="30">
        <v>15788163.300000001</v>
      </c>
      <c r="R41" s="30"/>
      <c r="S41" s="30" t="s">
        <v>33</v>
      </c>
      <c r="T41" t="s">
        <v>33</v>
      </c>
      <c r="U41" s="31" t="e">
        <v>#N/A</v>
      </c>
      <c r="V41" t="s">
        <v>33</v>
      </c>
      <c r="Y41" t="e">
        <f>VLOOKUP(A41,[2]!PRGX[[#All],[Proveedor]],1,FALSE)</f>
        <v>#REF!</v>
      </c>
      <c r="Z41">
        <v>15461</v>
      </c>
    </row>
    <row r="42" spans="1:26" x14ac:dyDescent="0.25">
      <c r="A42" s="25">
        <v>66951</v>
      </c>
      <c r="B42" s="25" t="s">
        <v>86</v>
      </c>
      <c r="C42" s="26">
        <v>73488</v>
      </c>
      <c r="D42" s="27">
        <v>5938129058.0889997</v>
      </c>
      <c r="E42" s="27">
        <v>5769508245.8594999</v>
      </c>
      <c r="F42" s="27">
        <v>168620812.2295</v>
      </c>
      <c r="G42" s="27">
        <f>VLOOKUP(A42,'[1]saldos al 26May26'!$C$2:$I$1010,7,FALSE)</f>
        <v>-10970478.710000001</v>
      </c>
      <c r="H42" s="27"/>
      <c r="I42" s="28" t="s">
        <v>27</v>
      </c>
      <c r="J42" s="29"/>
      <c r="K42" s="25" t="s">
        <v>29</v>
      </c>
      <c r="L42" s="25" t="s">
        <v>30</v>
      </c>
      <c r="M42" s="25" t="s">
        <v>50</v>
      </c>
      <c r="N42" s="25"/>
      <c r="O42" t="s">
        <v>87</v>
      </c>
      <c r="P42" s="32">
        <v>-5114903.16</v>
      </c>
      <c r="Q42" s="30">
        <v>-1011246.79</v>
      </c>
      <c r="R42" s="30"/>
      <c r="S42" s="30" t="s">
        <v>33</v>
      </c>
      <c r="T42" t="s">
        <v>33</v>
      </c>
      <c r="U42" s="31">
        <v>0</v>
      </c>
      <c r="V42" t="s">
        <v>42</v>
      </c>
      <c r="Y42" t="e">
        <f>VLOOKUP(A42,[2]!PRGX[[#All],[Proveedor]],1,FALSE)</f>
        <v>#REF!</v>
      </c>
      <c r="Z42">
        <v>66951</v>
      </c>
    </row>
    <row r="43" spans="1:26" x14ac:dyDescent="0.25">
      <c r="A43" s="25">
        <v>9647</v>
      </c>
      <c r="B43" s="25" t="s">
        <v>88</v>
      </c>
      <c r="C43" s="26">
        <v>817424</v>
      </c>
      <c r="D43" s="27">
        <v>5652700892.3877001</v>
      </c>
      <c r="E43" s="27">
        <v>4531195157.4499998</v>
      </c>
      <c r="F43" s="27">
        <v>1121505734.9377</v>
      </c>
      <c r="G43" s="27">
        <f>VLOOKUP(A43,'[1]saldos al 26May26'!$C$2:$I$1010,7,FALSE)</f>
        <v>-362192921.32999998</v>
      </c>
      <c r="H43" s="27"/>
      <c r="I43" s="28" t="s">
        <v>27</v>
      </c>
      <c r="J43" s="29"/>
      <c r="K43" s="25" t="s">
        <v>29</v>
      </c>
      <c r="L43" s="25" t="s">
        <v>30</v>
      </c>
      <c r="M43" s="25" t="s">
        <v>31</v>
      </c>
      <c r="N43" s="25"/>
      <c r="O43" t="s">
        <v>36</v>
      </c>
      <c r="P43" s="32">
        <v>-19422816.66</v>
      </c>
      <c r="Q43" s="30">
        <v>28522197.960000001</v>
      </c>
      <c r="R43" s="30">
        <v>16176292.619999999</v>
      </c>
      <c r="S43" s="30" t="s">
        <v>63</v>
      </c>
      <c r="T43" t="s">
        <v>33</v>
      </c>
      <c r="U43" s="31">
        <v>0</v>
      </c>
      <c r="V43" t="s">
        <v>42</v>
      </c>
      <c r="Y43" t="e">
        <f>VLOOKUP(A43,[2]!PRGX[[#All],[Proveedor]],1,FALSE)</f>
        <v>#REF!</v>
      </c>
      <c r="Z43">
        <v>9647</v>
      </c>
    </row>
    <row r="44" spans="1:26" x14ac:dyDescent="0.25">
      <c r="A44" s="25">
        <v>21733</v>
      </c>
      <c r="B44" s="25" t="s">
        <v>89</v>
      </c>
      <c r="C44" s="26">
        <v>390183</v>
      </c>
      <c r="D44" s="27">
        <v>5421763591.3319998</v>
      </c>
      <c r="E44" s="27">
        <v>4390787924.3611994</v>
      </c>
      <c r="F44" s="27">
        <v>1030975666.9708</v>
      </c>
      <c r="G44" s="27">
        <f>VLOOKUP(A44,'[1]saldos al 26May26'!$C$2:$I$1010,7,FALSE)</f>
        <v>-135227776.28999999</v>
      </c>
      <c r="H44" s="27"/>
      <c r="I44" s="28" t="s">
        <v>27</v>
      </c>
      <c r="J44" s="29"/>
      <c r="K44" s="25" t="s">
        <v>29</v>
      </c>
      <c r="L44" s="25" t="s">
        <v>30</v>
      </c>
      <c r="M44" s="25" t="s">
        <v>31</v>
      </c>
      <c r="N44" s="25"/>
      <c r="O44" t="s">
        <v>41</v>
      </c>
      <c r="P44" s="30">
        <v>24696207.050000004</v>
      </c>
      <c r="Q44" s="30">
        <v>11899239.42</v>
      </c>
      <c r="R44" s="30">
        <v>817212</v>
      </c>
      <c r="S44" s="30" t="s">
        <v>33</v>
      </c>
      <c r="T44" t="s">
        <v>33</v>
      </c>
      <c r="U44" s="31" t="e">
        <v>#N/A</v>
      </c>
      <c r="V44" t="s">
        <v>34</v>
      </c>
      <c r="Y44" t="e">
        <f>VLOOKUP(A44,[2]!PRGX[[#All],[Proveedor]],1,FALSE)</f>
        <v>#REF!</v>
      </c>
      <c r="Z44">
        <v>21733</v>
      </c>
    </row>
    <row r="45" spans="1:26" x14ac:dyDescent="0.25">
      <c r="A45" s="25">
        <v>1850</v>
      </c>
      <c r="B45" s="25" t="s">
        <v>90</v>
      </c>
      <c r="C45" s="26">
        <v>3112111</v>
      </c>
      <c r="D45" s="27">
        <v>5246872883.4152002</v>
      </c>
      <c r="E45" s="27">
        <v>4938474773.5433006</v>
      </c>
      <c r="F45" s="27">
        <v>308398109.87190002</v>
      </c>
      <c r="G45" s="27">
        <f>VLOOKUP(A45,'[1]saldos al 26May26'!$C$2:$I$1010,7,FALSE)</f>
        <v>-9287954.3599999994</v>
      </c>
      <c r="H45" s="27"/>
      <c r="I45" s="28" t="s">
        <v>27</v>
      </c>
      <c r="J45" s="29"/>
      <c r="K45" s="25" t="s">
        <v>29</v>
      </c>
      <c r="L45" s="25" t="s">
        <v>30</v>
      </c>
      <c r="M45" s="25" t="s">
        <v>59</v>
      </c>
      <c r="N45" s="25"/>
      <c r="O45" t="s">
        <v>38</v>
      </c>
      <c r="P45" s="30">
        <v>4638220.42</v>
      </c>
      <c r="Q45" s="30">
        <v>1622729.91</v>
      </c>
      <c r="R45" s="30">
        <v>430000</v>
      </c>
      <c r="S45" s="30" t="s">
        <v>33</v>
      </c>
      <c r="T45" t="s">
        <v>33</v>
      </c>
      <c r="U45" s="31" t="e">
        <v>#N/A</v>
      </c>
      <c r="V45" t="s">
        <v>34</v>
      </c>
      <c r="Y45" t="e">
        <f>VLOOKUP(A45,[2]!PRGX[[#All],[Proveedor]],1,FALSE)</f>
        <v>#REF!</v>
      </c>
      <c r="Z45">
        <v>1850</v>
      </c>
    </row>
    <row r="46" spans="1:26" x14ac:dyDescent="0.25">
      <c r="A46" s="25">
        <v>68403</v>
      </c>
      <c r="B46" s="25" t="s">
        <v>91</v>
      </c>
      <c r="C46" s="26">
        <v>2057364</v>
      </c>
      <c r="D46" s="27">
        <v>5161966739.8853998</v>
      </c>
      <c r="E46" s="27">
        <v>4853965458.4115</v>
      </c>
      <c r="F46" s="27">
        <v>308001281.47390002</v>
      </c>
      <c r="G46" s="27">
        <f>VLOOKUP(A46,'[1]saldos al 26May26'!$C$2:$I$1010,7,FALSE)</f>
        <v>-33284100.789999999</v>
      </c>
      <c r="H46" s="27"/>
      <c r="I46" s="28" t="s">
        <v>27</v>
      </c>
      <c r="J46" s="29"/>
      <c r="K46" s="25" t="s">
        <v>29</v>
      </c>
      <c r="L46" s="25" t="s">
        <v>30</v>
      </c>
      <c r="M46" s="25" t="s">
        <v>31</v>
      </c>
      <c r="N46" s="25"/>
      <c r="O46" t="s">
        <v>47</v>
      </c>
      <c r="P46" s="30">
        <v>257604156.62999997</v>
      </c>
      <c r="Q46" s="30">
        <v>292835.36</v>
      </c>
      <c r="R46" s="30">
        <v>2500000</v>
      </c>
      <c r="S46" s="30" t="s">
        <v>33</v>
      </c>
      <c r="T46" t="s">
        <v>33</v>
      </c>
      <c r="U46" s="31" t="s">
        <v>33</v>
      </c>
      <c r="V46" t="s">
        <v>33</v>
      </c>
      <c r="Y46" t="e">
        <f>VLOOKUP(A46,[2]!PRGX[[#All],[Proveedor]],1,FALSE)</f>
        <v>#REF!</v>
      </c>
      <c r="Z46">
        <v>68403</v>
      </c>
    </row>
    <row r="47" spans="1:26" x14ac:dyDescent="0.25">
      <c r="A47" s="25">
        <v>77289</v>
      </c>
      <c r="B47" s="25" t="s">
        <v>92</v>
      </c>
      <c r="C47" s="26">
        <v>92460</v>
      </c>
      <c r="D47" s="27">
        <v>4908661739.2201004</v>
      </c>
      <c r="E47" s="27">
        <v>3402661585.5915003</v>
      </c>
      <c r="F47" s="27">
        <v>1506000153.6285999</v>
      </c>
      <c r="G47" s="27">
        <f>VLOOKUP(A47,'[1]saldos al 26May26'!$C$2:$I$1010,7,FALSE)</f>
        <v>-235415579.68000001</v>
      </c>
      <c r="H47" s="27"/>
      <c r="I47" s="28" t="s">
        <v>27</v>
      </c>
      <c r="J47" s="29"/>
      <c r="K47" s="25" t="s">
        <v>29</v>
      </c>
      <c r="L47" s="25" t="s">
        <v>30</v>
      </c>
      <c r="M47" s="25" t="s">
        <v>59</v>
      </c>
      <c r="N47" s="25"/>
      <c r="O47" t="s">
        <v>38</v>
      </c>
      <c r="P47" s="32">
        <v>-32356520.020000003</v>
      </c>
      <c r="Q47" s="30">
        <v>1931698</v>
      </c>
      <c r="R47" s="30"/>
      <c r="S47" s="30" t="s">
        <v>63</v>
      </c>
      <c r="T47" t="s">
        <v>33</v>
      </c>
      <c r="U47" s="31" t="e">
        <v>#N/A</v>
      </c>
      <c r="V47" t="s">
        <v>34</v>
      </c>
      <c r="Y47" t="e">
        <f>VLOOKUP(A47,[2]!PRGX[[#All],[Proveedor]],1,FALSE)</f>
        <v>#REF!</v>
      </c>
      <c r="Z47">
        <v>77289</v>
      </c>
    </row>
    <row r="48" spans="1:26" x14ac:dyDescent="0.25">
      <c r="A48" s="25">
        <v>398024</v>
      </c>
      <c r="B48" s="25" t="s">
        <v>93</v>
      </c>
      <c r="C48" s="26">
        <v>126734</v>
      </c>
      <c r="D48" s="27">
        <v>4904158383.125</v>
      </c>
      <c r="E48" s="27">
        <v>3969692319.9349999</v>
      </c>
      <c r="F48" s="27">
        <v>934466063.19000006</v>
      </c>
      <c r="G48" s="27">
        <f>VLOOKUP(A48,'[1]saldos al 26May26'!$C$2:$I$1010,7,FALSE)</f>
        <v>-193063352.96000001</v>
      </c>
      <c r="H48" s="27"/>
      <c r="I48" s="28" t="s">
        <v>27</v>
      </c>
      <c r="J48" s="29"/>
      <c r="K48" s="25" t="s">
        <v>29</v>
      </c>
      <c r="L48" s="25" t="s">
        <v>30</v>
      </c>
      <c r="M48" s="25" t="s">
        <v>59</v>
      </c>
      <c r="N48" s="25"/>
      <c r="O48" t="s">
        <v>45</v>
      </c>
      <c r="P48" s="32">
        <v>-900646.67000000016</v>
      </c>
      <c r="Q48" s="30">
        <v>725969.51</v>
      </c>
      <c r="R48" s="30">
        <v>3151187.54</v>
      </c>
      <c r="S48" s="30">
        <v>0</v>
      </c>
      <c r="T48" t="s">
        <v>33</v>
      </c>
      <c r="U48" s="31" t="e">
        <v>#N/A</v>
      </c>
      <c r="V48" t="s">
        <v>34</v>
      </c>
      <c r="Y48" t="e">
        <f>VLOOKUP(A48,[2]!PRGX[[#All],[Proveedor]],1,FALSE)</f>
        <v>#REF!</v>
      </c>
      <c r="Z48">
        <v>398024</v>
      </c>
    </row>
    <row r="49" spans="1:26" x14ac:dyDescent="0.25">
      <c r="A49" s="25">
        <v>308478</v>
      </c>
      <c r="B49" s="25" t="s">
        <v>94</v>
      </c>
      <c r="C49" s="26">
        <v>19804</v>
      </c>
      <c r="D49" s="27">
        <v>4880688046.9694004</v>
      </c>
      <c r="E49" s="27">
        <v>4192915707.6294003</v>
      </c>
      <c r="F49" s="27">
        <v>687772339.34000003</v>
      </c>
      <c r="G49" s="27">
        <f>VLOOKUP(A49,'[1]saldos al 26May26'!$C$2:$I$1010,7,FALSE)</f>
        <v>-61869627.07</v>
      </c>
      <c r="H49" s="27"/>
      <c r="I49" s="28" t="s">
        <v>27</v>
      </c>
      <c r="J49" s="29"/>
      <c r="K49" s="25" t="s">
        <v>29</v>
      </c>
      <c r="L49" s="25" t="s">
        <v>30</v>
      </c>
      <c r="M49" s="25" t="s">
        <v>59</v>
      </c>
      <c r="N49" s="25"/>
      <c r="O49" t="s">
        <v>45</v>
      </c>
      <c r="P49" s="32">
        <v>-7802984.54</v>
      </c>
      <c r="Q49" s="30">
        <v>2785315.21</v>
      </c>
      <c r="R49" s="30"/>
      <c r="S49" s="30" t="s">
        <v>33</v>
      </c>
      <c r="T49" t="s">
        <v>33</v>
      </c>
      <c r="U49" s="31" t="e">
        <v>#N/A</v>
      </c>
      <c r="V49" t="s">
        <v>34</v>
      </c>
      <c r="Y49" t="e">
        <f>VLOOKUP(A49,[2]!PRGX[[#All],[Proveedor]],1,FALSE)</f>
        <v>#REF!</v>
      </c>
      <c r="Z49">
        <v>308478</v>
      </c>
    </row>
    <row r="50" spans="1:26" x14ac:dyDescent="0.25">
      <c r="A50" s="25">
        <v>72884</v>
      </c>
      <c r="B50" s="25" t="s">
        <v>95</v>
      </c>
      <c r="C50" s="26">
        <v>1068972</v>
      </c>
      <c r="D50" s="27">
        <v>4628256811.9249001</v>
      </c>
      <c r="E50" s="27">
        <v>3808273951.6570001</v>
      </c>
      <c r="F50" s="27">
        <v>819982860.26789999</v>
      </c>
      <c r="G50" s="27">
        <f>VLOOKUP(A50,'[1]saldos al 26May26'!$C$2:$I$1010,7,FALSE)</f>
        <v>-61412909.780000001</v>
      </c>
      <c r="H50" s="27"/>
      <c r="I50" s="28" t="s">
        <v>27</v>
      </c>
      <c r="J50" s="29">
        <v>129421.2656129544</v>
      </c>
      <c r="K50" s="25" t="s">
        <v>29</v>
      </c>
      <c r="L50" s="25" t="s">
        <v>30</v>
      </c>
      <c r="M50" s="25" t="s">
        <v>31</v>
      </c>
      <c r="N50" s="25"/>
      <c r="O50" t="s">
        <v>96</v>
      </c>
      <c r="P50" s="32">
        <v>-128929048.73999998</v>
      </c>
      <c r="Q50" s="30">
        <v>45174057.920000002</v>
      </c>
      <c r="R50" s="30">
        <v>399242</v>
      </c>
      <c r="S50" s="30" t="s">
        <v>33</v>
      </c>
      <c r="T50" t="s">
        <v>33</v>
      </c>
      <c r="U50" s="31">
        <v>0</v>
      </c>
      <c r="V50" t="s">
        <v>34</v>
      </c>
      <c r="Y50" t="e">
        <f>VLOOKUP(A50,[2]!PRGX[[#All],[Proveedor]],1,FALSE)</f>
        <v>#REF!</v>
      </c>
      <c r="Z50">
        <v>72884</v>
      </c>
    </row>
    <row r="51" spans="1:26" x14ac:dyDescent="0.25">
      <c r="A51" s="25">
        <v>21943</v>
      </c>
      <c r="B51" s="25" t="s">
        <v>97</v>
      </c>
      <c r="C51" s="26">
        <v>256643</v>
      </c>
      <c r="D51" s="27">
        <v>4478362972.96</v>
      </c>
      <c r="E51" s="27">
        <v>3736243784.6800003</v>
      </c>
      <c r="F51" s="27">
        <v>742119188.27999997</v>
      </c>
      <c r="G51" s="27">
        <f>VLOOKUP(A51,'[1]saldos al 26May26'!$C$2:$I$1010,7,FALSE)</f>
        <v>-245733535.00999999</v>
      </c>
      <c r="H51" s="27"/>
      <c r="I51" s="28" t="s">
        <v>27</v>
      </c>
      <c r="J51" s="29"/>
      <c r="K51" s="25" t="s">
        <v>29</v>
      </c>
      <c r="L51" s="25" t="s">
        <v>30</v>
      </c>
      <c r="M51" s="25" t="s">
        <v>59</v>
      </c>
      <c r="N51" s="25"/>
      <c r="O51" t="s">
        <v>36</v>
      </c>
      <c r="P51" s="30">
        <v>35838059.5</v>
      </c>
      <c r="Q51" s="30">
        <v>24634621.620000001</v>
      </c>
      <c r="R51" s="30"/>
      <c r="S51" s="30" t="s">
        <v>33</v>
      </c>
      <c r="T51" t="s">
        <v>33</v>
      </c>
      <c r="U51" s="31">
        <v>0</v>
      </c>
      <c r="V51" t="s">
        <v>42</v>
      </c>
      <c r="Y51" t="e">
        <f>VLOOKUP(A51,[2]!PRGX[[#All],[Proveedor]],1,FALSE)</f>
        <v>#REF!</v>
      </c>
      <c r="Z51">
        <v>21943</v>
      </c>
    </row>
    <row r="52" spans="1:26" x14ac:dyDescent="0.25">
      <c r="A52" s="25">
        <v>1198</v>
      </c>
      <c r="B52" s="25" t="s">
        <v>65</v>
      </c>
      <c r="C52" s="26">
        <v>320541</v>
      </c>
      <c r="D52" s="27">
        <v>4271758461.5184002</v>
      </c>
      <c r="E52" s="27">
        <v>3589130354.1884003</v>
      </c>
      <c r="F52" s="27">
        <v>682628107.33000004</v>
      </c>
      <c r="G52" s="27">
        <f>VLOOKUP(A52,'[1]saldos al 26May26'!$C$2:$I$1010,7,FALSE)</f>
        <v>-99741386.209999993</v>
      </c>
      <c r="H52" s="27"/>
      <c r="I52" s="28" t="s">
        <v>27</v>
      </c>
      <c r="J52" s="29"/>
      <c r="K52" s="25" t="s">
        <v>29</v>
      </c>
      <c r="L52" s="25" t="s">
        <v>30</v>
      </c>
      <c r="M52" s="25" t="s">
        <v>50</v>
      </c>
      <c r="N52" s="25"/>
      <c r="O52" t="s">
        <v>36</v>
      </c>
      <c r="P52" s="30">
        <v>4093142.8800000018</v>
      </c>
      <c r="Q52" s="30">
        <v>22394195.029999997</v>
      </c>
      <c r="R52" s="30">
        <v>801500</v>
      </c>
      <c r="S52" s="30" t="s">
        <v>33</v>
      </c>
      <c r="T52" t="s">
        <v>33</v>
      </c>
      <c r="U52" s="31" t="e">
        <v>#N/A</v>
      </c>
      <c r="V52" t="s">
        <v>34</v>
      </c>
      <c r="Y52" t="e">
        <f>VLOOKUP(A52,[2]!PRGX[[#All],[Proveedor]],1,FALSE)</f>
        <v>#REF!</v>
      </c>
      <c r="Z52">
        <v>1198</v>
      </c>
    </row>
    <row r="53" spans="1:26" x14ac:dyDescent="0.25">
      <c r="A53" s="25">
        <v>52035</v>
      </c>
      <c r="B53" s="25" t="s">
        <v>98</v>
      </c>
      <c r="C53" s="26">
        <v>73556</v>
      </c>
      <c r="D53" s="27">
        <v>4266156504.1360002</v>
      </c>
      <c r="E53" s="27">
        <v>3585504184.8000002</v>
      </c>
      <c r="F53" s="27">
        <v>680652319.33599997</v>
      </c>
      <c r="G53" s="27">
        <f>VLOOKUP(A53,'[1]saldos al 26May26'!$C$2:$I$1010,7,FALSE)</f>
        <v>-181339935</v>
      </c>
      <c r="H53" s="27"/>
      <c r="I53" s="28" t="s">
        <v>27</v>
      </c>
      <c r="J53" s="29"/>
      <c r="K53" s="25" t="s">
        <v>29</v>
      </c>
      <c r="L53" s="25" t="s">
        <v>30</v>
      </c>
      <c r="M53" s="25" t="s">
        <v>50</v>
      </c>
      <c r="N53" s="25"/>
      <c r="O53" t="s">
        <v>51</v>
      </c>
      <c r="P53" s="32">
        <v>-23178826.400000002</v>
      </c>
      <c r="Q53" s="30">
        <v>0</v>
      </c>
      <c r="R53" s="30"/>
      <c r="S53" s="30" t="s">
        <v>33</v>
      </c>
      <c r="T53" t="s">
        <v>33</v>
      </c>
      <c r="U53" s="31" t="e">
        <v>#N/A</v>
      </c>
      <c r="V53" t="s">
        <v>34</v>
      </c>
      <c r="Y53" t="e">
        <f>VLOOKUP(A53,[2]!PRGX[[#All],[Proveedor]],1,FALSE)</f>
        <v>#REF!</v>
      </c>
      <c r="Z53">
        <v>52035</v>
      </c>
    </row>
    <row r="54" spans="1:26" x14ac:dyDescent="0.25">
      <c r="A54" s="25">
        <v>8862</v>
      </c>
      <c r="B54" s="25" t="s">
        <v>99</v>
      </c>
      <c r="C54" s="26">
        <v>727676</v>
      </c>
      <c r="D54" s="27">
        <v>4254329064.0324001</v>
      </c>
      <c r="E54" s="27">
        <v>3461200299.2220001</v>
      </c>
      <c r="F54" s="27">
        <v>793128764.81040001</v>
      </c>
      <c r="G54" s="27">
        <f>VLOOKUP(A54,'[1]saldos al 26May26'!$C$2:$I$1010,7,FALSE)</f>
        <v>-139809827.18000001</v>
      </c>
      <c r="H54" s="27"/>
      <c r="I54" s="28" t="s">
        <v>27</v>
      </c>
      <c r="J54" s="29"/>
      <c r="K54" s="25" t="s">
        <v>29</v>
      </c>
      <c r="L54" s="25" t="s">
        <v>30</v>
      </c>
      <c r="M54" s="25" t="s">
        <v>31</v>
      </c>
      <c r="N54" s="25"/>
      <c r="O54" t="s">
        <v>87</v>
      </c>
      <c r="P54" s="30">
        <v>3265522.7399999998</v>
      </c>
      <c r="Q54" s="30">
        <v>7117164.9100000001</v>
      </c>
      <c r="R54" s="30">
        <v>507475</v>
      </c>
      <c r="S54" s="30" t="s">
        <v>33</v>
      </c>
      <c r="T54" t="s">
        <v>33</v>
      </c>
      <c r="U54" s="31" t="e">
        <v>#N/A</v>
      </c>
      <c r="V54" t="s">
        <v>34</v>
      </c>
      <c r="Y54" t="e">
        <f>VLOOKUP(A54,[2]!PRGX[[#All],[Proveedor]],1,FALSE)</f>
        <v>#REF!</v>
      </c>
      <c r="Z54">
        <v>8862</v>
      </c>
    </row>
    <row r="55" spans="1:26" x14ac:dyDescent="0.25">
      <c r="A55" s="25">
        <v>325373</v>
      </c>
      <c r="B55" s="25" t="s">
        <v>100</v>
      </c>
      <c r="C55" s="26">
        <v>28880</v>
      </c>
      <c r="D55" s="27">
        <v>318116487.185</v>
      </c>
      <c r="E55" s="27">
        <v>278071785.92500001</v>
      </c>
      <c r="F55" s="27">
        <v>40044701.259999998</v>
      </c>
      <c r="G55" s="27">
        <f>VLOOKUP(A55,'[1]saldos al 26May26'!$C$2:$I$1010,7,FALSE)</f>
        <v>-9606315.1699999999</v>
      </c>
      <c r="H55" s="27"/>
      <c r="I55" s="28"/>
      <c r="J55" s="29">
        <v>1757204.8634903999</v>
      </c>
      <c r="K55" s="25" t="s">
        <v>40</v>
      </c>
      <c r="L55" s="25" t="s">
        <v>30</v>
      </c>
      <c r="M55" s="25" t="s">
        <v>61</v>
      </c>
      <c r="N55" s="25" t="s">
        <v>56</v>
      </c>
      <c r="O55" t="s">
        <v>56</v>
      </c>
      <c r="P55" s="32">
        <v>-249849.61</v>
      </c>
      <c r="Q55" s="30">
        <v>101911.67</v>
      </c>
      <c r="R55" s="30"/>
      <c r="S55" s="30" t="s">
        <v>63</v>
      </c>
      <c r="T55" t="s">
        <v>33</v>
      </c>
      <c r="U55" s="31">
        <v>0</v>
      </c>
      <c r="V55" t="s">
        <v>33</v>
      </c>
      <c r="Y55" t="e">
        <f>VLOOKUP(A55,[2]!PRGX[[#All],[Proveedor]],1,FALSE)</f>
        <v>#REF!</v>
      </c>
    </row>
    <row r="56" spans="1:26" x14ac:dyDescent="0.25">
      <c r="A56" s="25">
        <v>1024</v>
      </c>
      <c r="B56" s="25" t="s">
        <v>101</v>
      </c>
      <c r="C56" s="26">
        <v>119903</v>
      </c>
      <c r="D56" s="27">
        <v>4144877630.5825</v>
      </c>
      <c r="E56" s="27">
        <v>3547173144.5025001</v>
      </c>
      <c r="F56" s="27">
        <v>597704486.08000004</v>
      </c>
      <c r="G56" s="27">
        <f>VLOOKUP(A56,'[1]saldos al 26May26'!$C$2:$I$1010,7,FALSE)</f>
        <v>-60041649.780000001</v>
      </c>
      <c r="H56" s="27"/>
      <c r="I56" s="28" t="s">
        <v>27</v>
      </c>
      <c r="J56" s="29"/>
      <c r="K56" s="25" t="s">
        <v>29</v>
      </c>
      <c r="L56" s="25" t="s">
        <v>30</v>
      </c>
      <c r="M56" s="25" t="s">
        <v>59</v>
      </c>
      <c r="N56" s="25"/>
      <c r="O56" t="s">
        <v>51</v>
      </c>
      <c r="P56" s="30">
        <v>6635575.1899999985</v>
      </c>
      <c r="Q56" s="30">
        <v>11786883.75</v>
      </c>
      <c r="R56" s="30">
        <v>70000</v>
      </c>
      <c r="S56" s="30" t="s">
        <v>33</v>
      </c>
      <c r="T56" t="s">
        <v>33</v>
      </c>
      <c r="U56" s="31" t="e">
        <v>#N/A</v>
      </c>
      <c r="V56" t="s">
        <v>34</v>
      </c>
      <c r="Y56" t="e">
        <f>VLOOKUP(A56,[2]!PRGX[[#All],[Proveedor]],1,FALSE)</f>
        <v>#REF!</v>
      </c>
      <c r="Z56">
        <v>1024</v>
      </c>
    </row>
    <row r="57" spans="1:26" x14ac:dyDescent="0.25">
      <c r="A57" s="25">
        <v>80200</v>
      </c>
      <c r="B57" s="25" t="s">
        <v>102</v>
      </c>
      <c r="C57" s="26">
        <v>104568</v>
      </c>
      <c r="D57" s="27">
        <v>4124680194.526</v>
      </c>
      <c r="E57" s="27">
        <v>4102388117.026</v>
      </c>
      <c r="F57" s="27">
        <v>22292077.5</v>
      </c>
      <c r="G57" s="27">
        <f>VLOOKUP(A57,'[1]saldos al 26May26'!$C$2:$I$1010,7,FALSE)</f>
        <v>-140027</v>
      </c>
      <c r="H57" s="27"/>
      <c r="I57" s="28"/>
      <c r="J57" s="29"/>
      <c r="K57" s="25" t="s">
        <v>29</v>
      </c>
      <c r="L57" s="25" t="s">
        <v>30</v>
      </c>
      <c r="M57" s="25" t="s">
        <v>59</v>
      </c>
      <c r="N57" s="25"/>
      <c r="O57" t="s">
        <v>87</v>
      </c>
      <c r="P57" s="32">
        <v>-1279505.23</v>
      </c>
      <c r="Q57" s="30">
        <v>42600</v>
      </c>
      <c r="R57" s="30"/>
      <c r="S57" s="30" t="s">
        <v>33</v>
      </c>
      <c r="T57" t="s">
        <v>33</v>
      </c>
      <c r="U57" s="31" t="e">
        <v>#N/A</v>
      </c>
      <c r="V57" t="s">
        <v>34</v>
      </c>
      <c r="Y57" t="e">
        <f>VLOOKUP(A57,[2]!PRGX[[#All],[Proveedor]],1,FALSE)</f>
        <v>#REF!</v>
      </c>
    </row>
    <row r="58" spans="1:26" x14ac:dyDescent="0.25">
      <c r="A58" s="25">
        <v>76059</v>
      </c>
      <c r="B58" s="25" t="s">
        <v>103</v>
      </c>
      <c r="C58" s="26">
        <v>265688</v>
      </c>
      <c r="D58" s="27">
        <v>4036001755.0988002</v>
      </c>
      <c r="E58" s="27">
        <v>3157230223.0587001</v>
      </c>
      <c r="F58" s="27">
        <v>878771532.04009998</v>
      </c>
      <c r="G58" s="27">
        <f>VLOOKUP(A58,'[1]saldos al 26May26'!$C$2:$I$1010,7,FALSE)</f>
        <v>-78714161.120000005</v>
      </c>
      <c r="H58" s="27"/>
      <c r="I58" s="28" t="s">
        <v>27</v>
      </c>
      <c r="J58" s="29"/>
      <c r="K58" s="25" t="s">
        <v>29</v>
      </c>
      <c r="L58" s="25" t="s">
        <v>30</v>
      </c>
      <c r="M58" s="25" t="s">
        <v>59</v>
      </c>
      <c r="N58" s="25"/>
      <c r="O58" t="s">
        <v>38</v>
      </c>
      <c r="P58" s="30">
        <v>7368050.0100000007</v>
      </c>
      <c r="Q58" s="30">
        <v>11796292.09</v>
      </c>
      <c r="R58" s="30">
        <v>375129.77</v>
      </c>
      <c r="S58" s="30" t="s">
        <v>33</v>
      </c>
      <c r="T58" t="s">
        <v>33</v>
      </c>
      <c r="U58" s="31" t="e">
        <v>#N/A</v>
      </c>
      <c r="V58" t="s">
        <v>34</v>
      </c>
      <c r="Y58" t="e">
        <f>VLOOKUP(A58,[2]!PRGX[[#All],[Proveedor]],1,FALSE)</f>
        <v>#REF!</v>
      </c>
      <c r="Z58">
        <v>76059</v>
      </c>
    </row>
    <row r="59" spans="1:26" x14ac:dyDescent="0.25">
      <c r="A59" s="25">
        <v>323790</v>
      </c>
      <c r="B59" s="25" t="s">
        <v>104</v>
      </c>
      <c r="C59" s="26">
        <v>410390</v>
      </c>
      <c r="D59" s="27">
        <v>3957363149.691</v>
      </c>
      <c r="E59" s="27">
        <v>3289076314.0310001</v>
      </c>
      <c r="F59" s="27">
        <v>668286835.65999997</v>
      </c>
      <c r="G59" s="27">
        <f>VLOOKUP(A59,'[1]saldos al 26May26'!$C$2:$I$1010,7,FALSE)</f>
        <v>-141091499.03999999</v>
      </c>
      <c r="H59" s="27"/>
      <c r="I59" s="28" t="s">
        <v>27</v>
      </c>
      <c r="J59" s="29"/>
      <c r="K59" s="25" t="s">
        <v>29</v>
      </c>
      <c r="L59" s="25" t="s">
        <v>30</v>
      </c>
      <c r="M59" s="25" t="s">
        <v>31</v>
      </c>
      <c r="N59" s="25"/>
      <c r="O59" t="s">
        <v>80</v>
      </c>
      <c r="P59" s="30">
        <v>20452354.039999999</v>
      </c>
      <c r="Q59" s="30">
        <v>2213217.42</v>
      </c>
      <c r="R59" s="30">
        <v>5612.89</v>
      </c>
      <c r="S59" s="30" t="s">
        <v>33</v>
      </c>
      <c r="T59" t="s">
        <v>33</v>
      </c>
      <c r="U59" s="31" t="e">
        <v>#N/A</v>
      </c>
      <c r="V59" t="s">
        <v>34</v>
      </c>
      <c r="Y59" t="e">
        <f>VLOOKUP(A59,[2]!PRGX[[#All],[Proveedor]],1,FALSE)</f>
        <v>#REF!</v>
      </c>
      <c r="Z59">
        <v>323790</v>
      </c>
    </row>
    <row r="60" spans="1:26" x14ac:dyDescent="0.25">
      <c r="A60" s="25">
        <v>52662</v>
      </c>
      <c r="B60" s="25" t="s">
        <v>105</v>
      </c>
      <c r="C60" s="26">
        <v>382954</v>
      </c>
      <c r="D60" s="27">
        <v>3930256262.6714001</v>
      </c>
      <c r="E60" s="27">
        <v>3211830509.2514</v>
      </c>
      <c r="F60" s="27">
        <v>718425753.41999996</v>
      </c>
      <c r="G60" s="27">
        <f>VLOOKUP(A60,'[1]saldos al 26May26'!$C$2:$I$1010,7,FALSE)</f>
        <v>-147098263.72999999</v>
      </c>
      <c r="H60" s="27"/>
      <c r="I60" s="28" t="s">
        <v>27</v>
      </c>
      <c r="J60" s="29">
        <v>7164028.8694582768</v>
      </c>
      <c r="K60" s="25" t="s">
        <v>29</v>
      </c>
      <c r="L60" s="25" t="s">
        <v>30</v>
      </c>
      <c r="M60" s="25" t="s">
        <v>61</v>
      </c>
      <c r="N60" s="25"/>
      <c r="O60" t="s">
        <v>36</v>
      </c>
      <c r="P60" s="30">
        <v>1978242.4599999967</v>
      </c>
      <c r="Q60" s="30">
        <v>11737784.539999999</v>
      </c>
      <c r="R60" s="30">
        <v>1100000</v>
      </c>
      <c r="S60" s="30" t="s">
        <v>63</v>
      </c>
      <c r="T60" t="s">
        <v>33</v>
      </c>
      <c r="U60" s="31" t="e">
        <v>#N/A</v>
      </c>
      <c r="V60" t="s">
        <v>34</v>
      </c>
      <c r="Y60" t="e">
        <f>VLOOKUP(A60,[2]!PRGX[[#All],[Proveedor]],1,FALSE)</f>
        <v>#REF!</v>
      </c>
      <c r="Z60">
        <v>52662</v>
      </c>
    </row>
    <row r="61" spans="1:26" x14ac:dyDescent="0.25">
      <c r="A61" s="25">
        <v>24476</v>
      </c>
      <c r="B61" s="25" t="s">
        <v>106</v>
      </c>
      <c r="C61" s="26">
        <v>1900</v>
      </c>
      <c r="D61" s="27">
        <v>29562895.219999999</v>
      </c>
      <c r="E61" s="27">
        <v>17940140.059999999</v>
      </c>
      <c r="F61" s="27">
        <v>11622755.16</v>
      </c>
      <c r="G61" s="27">
        <f>VLOOKUP(A61,'[1]saldos al 26May26'!$C$2:$I$1010,7,FALSE)</f>
        <v>-1635152.07</v>
      </c>
      <c r="H61" s="27"/>
      <c r="I61" s="28"/>
      <c r="J61" s="29">
        <v>1681810.4291316564</v>
      </c>
      <c r="K61" s="25" t="s">
        <v>40</v>
      </c>
      <c r="L61" s="25" t="s">
        <v>30</v>
      </c>
      <c r="M61" s="25" t="s">
        <v>61</v>
      </c>
      <c r="N61" s="25" t="s">
        <v>56</v>
      </c>
      <c r="O61" t="s">
        <v>56</v>
      </c>
      <c r="P61" s="30">
        <v>0</v>
      </c>
      <c r="Q61" s="30">
        <v>0</v>
      </c>
      <c r="R61" s="30">
        <v>110756.66</v>
      </c>
      <c r="S61" s="30" t="e">
        <v>#N/A</v>
      </c>
      <c r="T61" t="s">
        <v>33</v>
      </c>
      <c r="U61" s="31" t="e">
        <v>#N/A</v>
      </c>
      <c r="V61" t="s">
        <v>33</v>
      </c>
      <c r="Y61" t="e">
        <f>VLOOKUP(A61,[2]!PRGX[[#All],[Proveedor]],1,FALSE)</f>
        <v>#REF!</v>
      </c>
    </row>
    <row r="62" spans="1:26" x14ac:dyDescent="0.25">
      <c r="A62" s="25">
        <v>96651</v>
      </c>
      <c r="B62" s="25" t="s">
        <v>107</v>
      </c>
      <c r="C62" s="26">
        <v>673043</v>
      </c>
      <c r="D62" s="27">
        <v>3793978994.1799998</v>
      </c>
      <c r="E62" s="27">
        <v>2881959752.2554998</v>
      </c>
      <c r="F62" s="27">
        <v>912019241.92449999</v>
      </c>
      <c r="G62" s="27">
        <f>VLOOKUP(A62,'[1]saldos al 26May26'!$C$2:$I$1010,7,FALSE)</f>
        <v>-51284247.969999999</v>
      </c>
      <c r="H62" s="27"/>
      <c r="I62" s="28" t="s">
        <v>27</v>
      </c>
      <c r="J62" s="29"/>
      <c r="K62" s="25" t="s">
        <v>29</v>
      </c>
      <c r="L62" s="25" t="s">
        <v>30</v>
      </c>
      <c r="M62" s="25" t="s">
        <v>50</v>
      </c>
      <c r="N62" s="25"/>
      <c r="O62" t="s">
        <v>80</v>
      </c>
      <c r="P62" s="30">
        <v>8005263.2400000012</v>
      </c>
      <c r="Q62" s="30">
        <v>8732184.3900000006</v>
      </c>
      <c r="R62" s="30"/>
      <c r="S62" s="30" t="s">
        <v>33</v>
      </c>
      <c r="T62" t="s">
        <v>33</v>
      </c>
      <c r="U62" s="31" t="e">
        <v>#N/A</v>
      </c>
      <c r="V62" t="s">
        <v>34</v>
      </c>
      <c r="Y62" t="e">
        <f>VLOOKUP(A62,[2]!PRGX[[#All],[Proveedor]],1,FALSE)</f>
        <v>#REF!</v>
      </c>
      <c r="Z62">
        <v>96651</v>
      </c>
    </row>
    <row r="63" spans="1:26" x14ac:dyDescent="0.25">
      <c r="A63" s="25">
        <v>28076</v>
      </c>
      <c r="B63" s="25" t="s">
        <v>108</v>
      </c>
      <c r="C63" s="26">
        <v>8513</v>
      </c>
      <c r="D63" s="27">
        <v>3787690252.5500002</v>
      </c>
      <c r="E63" s="27">
        <v>3538542972.4400001</v>
      </c>
      <c r="F63" s="27">
        <v>249147280.11000001</v>
      </c>
      <c r="G63" s="27">
        <f>VLOOKUP(A63,'[1]saldos al 26May26'!$C$2:$I$1010,7,FALSE)</f>
        <v>-69425228.950000003</v>
      </c>
      <c r="H63" s="27"/>
      <c r="I63" s="28" t="s">
        <v>27</v>
      </c>
      <c r="J63" s="29"/>
      <c r="K63" s="25" t="s">
        <v>29</v>
      </c>
      <c r="L63" s="25" t="s">
        <v>30</v>
      </c>
      <c r="M63" s="25" t="s">
        <v>50</v>
      </c>
      <c r="N63" s="25"/>
      <c r="O63" t="s">
        <v>41</v>
      </c>
      <c r="P63" s="30">
        <v>532537188.58999997</v>
      </c>
      <c r="Q63" s="30">
        <v>4453085.3</v>
      </c>
      <c r="R63" s="30"/>
      <c r="S63" s="30">
        <v>0</v>
      </c>
      <c r="T63" t="s">
        <v>33</v>
      </c>
      <c r="U63" s="31" t="e">
        <v>#N/A</v>
      </c>
      <c r="V63" t="s">
        <v>34</v>
      </c>
      <c r="Y63" t="e">
        <f>VLOOKUP(A63,[2]!PRGX[[#All],[Proveedor]],1,FALSE)</f>
        <v>#REF!</v>
      </c>
      <c r="Z63">
        <v>28076</v>
      </c>
    </row>
    <row r="64" spans="1:26" x14ac:dyDescent="0.25">
      <c r="A64" s="25">
        <v>57638</v>
      </c>
      <c r="B64" s="25" t="s">
        <v>109</v>
      </c>
      <c r="C64" s="26">
        <v>414874</v>
      </c>
      <c r="D64" s="27">
        <v>3732687250.0440001</v>
      </c>
      <c r="E64" s="27">
        <v>3657782350.9500003</v>
      </c>
      <c r="F64" s="27">
        <v>74904899.093999997</v>
      </c>
      <c r="G64" s="27">
        <f>VLOOKUP(A64,'[1]saldos al 26May26'!$C$2:$I$1010,7,FALSE)</f>
        <v>-5114043.22</v>
      </c>
      <c r="H64" s="27"/>
      <c r="I64" s="28"/>
      <c r="J64" s="29"/>
      <c r="K64" s="25" t="s">
        <v>40</v>
      </c>
      <c r="L64" s="25" t="s">
        <v>30</v>
      </c>
      <c r="M64" s="25" t="s">
        <v>59</v>
      </c>
      <c r="N64" s="25" t="s">
        <v>70</v>
      </c>
      <c r="O64" t="s">
        <v>70</v>
      </c>
      <c r="P64" s="30">
        <v>416031.65</v>
      </c>
      <c r="Q64" s="30">
        <v>35520</v>
      </c>
      <c r="R64" s="30"/>
      <c r="S64" s="30" t="s">
        <v>33</v>
      </c>
      <c r="T64" t="s">
        <v>33</v>
      </c>
      <c r="U64" s="31" t="s">
        <v>33</v>
      </c>
      <c r="V64" t="s">
        <v>33</v>
      </c>
      <c r="Y64" t="e">
        <f>VLOOKUP(A64,[2]!PRGX[[#All],[Proveedor]],1,FALSE)</f>
        <v>#REF!</v>
      </c>
    </row>
    <row r="65" spans="1:26" x14ac:dyDescent="0.25">
      <c r="A65" s="25">
        <v>397984</v>
      </c>
      <c r="B65" s="25" t="s">
        <v>110</v>
      </c>
      <c r="C65" s="26">
        <v>7750</v>
      </c>
      <c r="D65" s="27">
        <v>3603271948.1500001</v>
      </c>
      <c r="E65" s="27">
        <v>2760644694.6199999</v>
      </c>
      <c r="F65" s="27">
        <v>842627253.52999997</v>
      </c>
      <c r="G65" s="27">
        <f>VLOOKUP(A65,'[1]saldos al 26May26'!$C$2:$I$1010,7,FALSE)</f>
        <v>-254846391.80000001</v>
      </c>
      <c r="H65" s="27"/>
      <c r="I65" s="28" t="s">
        <v>27</v>
      </c>
      <c r="J65" s="29"/>
      <c r="K65" s="25" t="s">
        <v>29</v>
      </c>
      <c r="L65" s="25" t="s">
        <v>30</v>
      </c>
      <c r="M65" s="25" t="s">
        <v>59</v>
      </c>
      <c r="N65" s="25"/>
      <c r="O65" t="s">
        <v>45</v>
      </c>
      <c r="P65" s="32">
        <v>-4267837.25</v>
      </c>
      <c r="Q65" s="30">
        <v>1394114.59</v>
      </c>
      <c r="R65" s="30">
        <v>3199700</v>
      </c>
      <c r="S65" s="30" t="s">
        <v>33</v>
      </c>
      <c r="T65" t="s">
        <v>33</v>
      </c>
      <c r="U65" s="31" t="s">
        <v>33</v>
      </c>
      <c r="V65" t="s">
        <v>33</v>
      </c>
      <c r="Y65" t="e">
        <f>VLOOKUP(A65,[2]!PRGX[[#All],[Proveedor]],1,FALSE)</f>
        <v>#REF!</v>
      </c>
      <c r="Z65">
        <v>397984</v>
      </c>
    </row>
    <row r="66" spans="1:26" x14ac:dyDescent="0.25">
      <c r="A66" s="25">
        <v>4077</v>
      </c>
      <c r="B66" s="25" t="s">
        <v>111</v>
      </c>
      <c r="C66" s="26">
        <v>338567</v>
      </c>
      <c r="D66" s="27">
        <v>3540869652.4699998</v>
      </c>
      <c r="E66" s="27">
        <v>2846450698.29</v>
      </c>
      <c r="F66" s="27">
        <v>694418954.17999995</v>
      </c>
      <c r="G66" s="27">
        <f>VLOOKUP(A66,'[1]saldos al 26May26'!$C$2:$I$1010,7,FALSE)</f>
        <v>-156027038.19</v>
      </c>
      <c r="H66" s="27"/>
      <c r="I66" s="28" t="s">
        <v>27</v>
      </c>
      <c r="J66" s="29"/>
      <c r="K66" s="25" t="s">
        <v>29</v>
      </c>
      <c r="L66" s="25" t="s">
        <v>30</v>
      </c>
      <c r="M66" s="25" t="s">
        <v>31</v>
      </c>
      <c r="N66" s="25"/>
      <c r="O66" t="s">
        <v>45</v>
      </c>
      <c r="P66" s="32">
        <v>-6587435.8500000015</v>
      </c>
      <c r="Q66" s="30">
        <v>8290958.6200000001</v>
      </c>
      <c r="R66" s="30">
        <v>6999127.7000000002</v>
      </c>
      <c r="S66" s="30" t="s">
        <v>63</v>
      </c>
      <c r="T66" t="s">
        <v>33</v>
      </c>
      <c r="U66" s="31" t="e">
        <v>#N/A</v>
      </c>
      <c r="V66" t="s">
        <v>34</v>
      </c>
      <c r="Y66" t="e">
        <f>VLOOKUP(A66,[2]!PRGX[[#All],[Proveedor]],1,FALSE)</f>
        <v>#REF!</v>
      </c>
      <c r="Z66">
        <v>4077</v>
      </c>
    </row>
    <row r="67" spans="1:26" x14ac:dyDescent="0.25">
      <c r="A67" s="25">
        <v>87197</v>
      </c>
      <c r="B67" s="25" t="s">
        <v>112</v>
      </c>
      <c r="C67" s="26">
        <v>7326</v>
      </c>
      <c r="D67" s="27">
        <v>3312363554.4899998</v>
      </c>
      <c r="E67" s="27">
        <v>2407949262.2699995</v>
      </c>
      <c r="F67" s="27">
        <v>904414292.22000003</v>
      </c>
      <c r="G67" s="27">
        <f>VLOOKUP(A67,'[1]saldos al 26May26'!$C$2:$I$1010,7,FALSE)</f>
        <v>-421165912.88999999</v>
      </c>
      <c r="H67" s="27"/>
      <c r="I67" s="28" t="s">
        <v>27</v>
      </c>
      <c r="J67" s="29"/>
      <c r="K67" s="25" t="s">
        <v>29</v>
      </c>
      <c r="L67" s="25" t="s">
        <v>30</v>
      </c>
      <c r="M67" s="25" t="s">
        <v>50</v>
      </c>
      <c r="N67" s="25"/>
      <c r="O67" t="s">
        <v>36</v>
      </c>
      <c r="P67" s="30">
        <v>9628764.0799999982</v>
      </c>
      <c r="Q67" s="30">
        <v>181633431.84999999</v>
      </c>
      <c r="R67" s="30">
        <v>1081824.76</v>
      </c>
      <c r="S67" s="30" t="s">
        <v>63</v>
      </c>
      <c r="T67" t="s">
        <v>33</v>
      </c>
      <c r="U67" s="31" t="s">
        <v>33</v>
      </c>
      <c r="V67" t="s">
        <v>33</v>
      </c>
      <c r="Y67" t="e">
        <f>VLOOKUP(A67,[2]!PRGX[[#All],[Proveedor]],1,FALSE)</f>
        <v>#REF!</v>
      </c>
      <c r="Z67">
        <v>87197</v>
      </c>
    </row>
    <row r="68" spans="1:26" x14ac:dyDescent="0.25">
      <c r="A68" s="25">
        <v>23962</v>
      </c>
      <c r="B68" s="25" t="s">
        <v>113</v>
      </c>
      <c r="C68" s="26">
        <v>108723</v>
      </c>
      <c r="D68" s="27">
        <v>3307643553.5</v>
      </c>
      <c r="E68" s="27">
        <v>2516989606.1199999</v>
      </c>
      <c r="F68" s="27">
        <v>790653947.38</v>
      </c>
      <c r="G68" s="27">
        <f>VLOOKUP(A68,'[1]saldos al 26May26'!$C$2:$I$1010,7,FALSE)</f>
        <v>-462352417.16000003</v>
      </c>
      <c r="H68" s="27"/>
      <c r="I68" s="28" t="s">
        <v>27</v>
      </c>
      <c r="J68" s="29"/>
      <c r="K68" s="25" t="s">
        <v>29</v>
      </c>
      <c r="L68" s="25" t="s">
        <v>30</v>
      </c>
      <c r="M68" s="25" t="s">
        <v>50</v>
      </c>
      <c r="N68" s="25"/>
      <c r="O68" t="s">
        <v>38</v>
      </c>
      <c r="P68" s="32">
        <v>-17579110.419999998</v>
      </c>
      <c r="Q68" s="30">
        <v>0</v>
      </c>
      <c r="R68" s="30">
        <v>31361123.739999998</v>
      </c>
      <c r="S68" s="30" t="s">
        <v>33</v>
      </c>
      <c r="T68" t="s">
        <v>33</v>
      </c>
      <c r="U68" s="31" t="e">
        <v>#N/A</v>
      </c>
      <c r="V68" t="s">
        <v>34</v>
      </c>
      <c r="Y68" t="e">
        <f>VLOOKUP(A68,[2]!PRGX[[#All],[Proveedor]],1,FALSE)</f>
        <v>#REF!</v>
      </c>
      <c r="Z68">
        <v>23962</v>
      </c>
    </row>
    <row r="69" spans="1:26" ht="13.5" customHeight="1" x14ac:dyDescent="0.25">
      <c r="A69" s="25">
        <v>216218</v>
      </c>
      <c r="B69" s="25" t="s">
        <v>114</v>
      </c>
      <c r="C69" s="26">
        <v>110708</v>
      </c>
      <c r="D69" s="27">
        <v>3217387206.8864002</v>
      </c>
      <c r="E69" s="27">
        <v>2734184092.6319003</v>
      </c>
      <c r="F69" s="27">
        <v>483203114.25449997</v>
      </c>
      <c r="G69" s="27">
        <f>VLOOKUP(A69,'[1]saldos al 26May26'!$C$2:$I$1010,7,FALSE)</f>
        <v>-10759495.9</v>
      </c>
      <c r="H69" s="27"/>
      <c r="I69" s="28" t="s">
        <v>27</v>
      </c>
      <c r="J69" s="29">
        <v>126972.94833729461</v>
      </c>
      <c r="K69" s="25" t="s">
        <v>29</v>
      </c>
      <c r="L69" s="25" t="s">
        <v>30</v>
      </c>
      <c r="M69" s="25" t="s">
        <v>59</v>
      </c>
      <c r="N69" s="25"/>
      <c r="O69" t="s">
        <v>51</v>
      </c>
      <c r="P69" s="30">
        <v>1556910.8299999998</v>
      </c>
      <c r="Q69" s="30">
        <v>494662.29</v>
      </c>
      <c r="R69" s="30"/>
      <c r="S69" s="30" t="s">
        <v>33</v>
      </c>
      <c r="T69" t="s">
        <v>33</v>
      </c>
      <c r="U69" s="31" t="e">
        <v>#N/A</v>
      </c>
      <c r="V69" t="s">
        <v>34</v>
      </c>
      <c r="Y69" t="e">
        <f>VLOOKUP(A69,[2]!PRGX[[#All],[Proveedor]],1,FALSE)</f>
        <v>#REF!</v>
      </c>
      <c r="Z69">
        <v>216218</v>
      </c>
    </row>
    <row r="70" spans="1:26" s="42" customFormat="1" x14ac:dyDescent="0.25">
      <c r="A70" s="25">
        <v>43372</v>
      </c>
      <c r="B70" s="25" t="s">
        <v>115</v>
      </c>
      <c r="C70" s="26">
        <v>110143</v>
      </c>
      <c r="D70" s="27">
        <v>3171294608.7115998</v>
      </c>
      <c r="E70" s="27">
        <v>2583254970.3315997</v>
      </c>
      <c r="F70" s="27">
        <v>588039638.38</v>
      </c>
      <c r="G70" s="27">
        <f>VLOOKUP(A70,'[1]saldos al 26May26'!$C$2:$I$1010,7,FALSE)</f>
        <v>-82674565.420000002</v>
      </c>
      <c r="H70" s="27"/>
      <c r="I70" s="28" t="s">
        <v>27</v>
      </c>
      <c r="J70" s="29"/>
      <c r="K70" s="25" t="s">
        <v>29</v>
      </c>
      <c r="L70" s="25" t="s">
        <v>30</v>
      </c>
      <c r="M70" s="25" t="s">
        <v>50</v>
      </c>
      <c r="N70" s="25"/>
      <c r="O70" t="s">
        <v>96</v>
      </c>
      <c r="P70" s="32">
        <v>-4745094.91</v>
      </c>
      <c r="Q70" s="30">
        <v>1118447.53</v>
      </c>
      <c r="R70" s="30">
        <v>878672.85</v>
      </c>
      <c r="S70" s="30">
        <v>0</v>
      </c>
      <c r="T70" t="s">
        <v>33</v>
      </c>
      <c r="U70" s="31" t="e">
        <v>#N/A</v>
      </c>
      <c r="V70" t="s">
        <v>34</v>
      </c>
      <c r="W70"/>
      <c r="Y70" t="e">
        <f>VLOOKUP(A70,[2]!PRGX[[#All],[Proveedor]],1,FALSE)</f>
        <v>#REF!</v>
      </c>
      <c r="Z70">
        <v>43372</v>
      </c>
    </row>
    <row r="71" spans="1:26" x14ac:dyDescent="0.25">
      <c r="A71" s="25">
        <v>17921</v>
      </c>
      <c r="B71" s="25" t="s">
        <v>116</v>
      </c>
      <c r="C71" s="26">
        <v>185070</v>
      </c>
      <c r="D71" s="27">
        <v>3089983848.2617998</v>
      </c>
      <c r="E71" s="27">
        <v>2605705637.2117996</v>
      </c>
      <c r="F71" s="27">
        <v>484278211.05000001</v>
      </c>
      <c r="G71" s="27">
        <f>VLOOKUP(A71,'[1]saldos al 26May26'!$C$2:$I$1010,7,FALSE)</f>
        <v>-126181754.68000001</v>
      </c>
      <c r="H71" s="27"/>
      <c r="I71" s="28" t="s">
        <v>27</v>
      </c>
      <c r="J71" s="29"/>
      <c r="K71" s="25" t="s">
        <v>29</v>
      </c>
      <c r="L71" s="25" t="s">
        <v>30</v>
      </c>
      <c r="M71" s="25" t="s">
        <v>31</v>
      </c>
      <c r="N71" s="25"/>
      <c r="O71" t="s">
        <v>36</v>
      </c>
      <c r="P71" s="30">
        <v>16253121.83</v>
      </c>
      <c r="Q71" s="30">
        <v>22524020.91</v>
      </c>
      <c r="R71" s="30">
        <v>5871439.7199999997</v>
      </c>
      <c r="S71" s="30" t="s">
        <v>33</v>
      </c>
      <c r="T71" t="s">
        <v>33</v>
      </c>
      <c r="U71" s="31">
        <v>0</v>
      </c>
      <c r="V71" t="s">
        <v>42</v>
      </c>
      <c r="Y71" t="e">
        <f>VLOOKUP(A71,[2]!PRGX[[#All],[Proveedor]],1,FALSE)</f>
        <v>#REF!</v>
      </c>
      <c r="Z71">
        <v>17921</v>
      </c>
    </row>
    <row r="72" spans="1:26" x14ac:dyDescent="0.25">
      <c r="A72" s="25">
        <v>321877</v>
      </c>
      <c r="B72" s="25" t="s">
        <v>117</v>
      </c>
      <c r="C72" s="26">
        <v>1862681</v>
      </c>
      <c r="D72" s="27">
        <v>3069958094.9593</v>
      </c>
      <c r="E72" s="27">
        <v>2849104012.3608999</v>
      </c>
      <c r="F72" s="27">
        <v>220854082.5984</v>
      </c>
      <c r="G72" s="27">
        <f>VLOOKUP(A72,'[1]saldos al 26May26'!$C$2:$I$1010,7,FALSE)</f>
        <v>-19531280.73</v>
      </c>
      <c r="H72" s="27"/>
      <c r="I72" s="28" t="s">
        <v>27</v>
      </c>
      <c r="J72" s="29"/>
      <c r="K72" s="25" t="s">
        <v>29</v>
      </c>
      <c r="L72" s="25" t="s">
        <v>30</v>
      </c>
      <c r="M72" s="25" t="s">
        <v>31</v>
      </c>
      <c r="N72" s="25"/>
      <c r="O72" t="s">
        <v>87</v>
      </c>
      <c r="P72" s="32">
        <v>-243562.5</v>
      </c>
      <c r="Q72" s="30">
        <v>915578.7</v>
      </c>
      <c r="R72" s="30">
        <v>732899.42999999993</v>
      </c>
      <c r="S72" s="30" t="s">
        <v>33</v>
      </c>
      <c r="T72" t="s">
        <v>33</v>
      </c>
      <c r="U72" s="31" t="e">
        <v>#N/A</v>
      </c>
      <c r="V72" t="s">
        <v>34</v>
      </c>
      <c r="Y72" t="e">
        <f>VLOOKUP(A72,[2]!PRGX[[#All],[Proveedor]],1,FALSE)</f>
        <v>#REF!</v>
      </c>
      <c r="Z72">
        <v>321877</v>
      </c>
    </row>
    <row r="73" spans="1:26" x14ac:dyDescent="0.25">
      <c r="A73" s="25">
        <v>99457</v>
      </c>
      <c r="B73" s="25" t="s">
        <v>118</v>
      </c>
      <c r="C73" s="26">
        <v>294370</v>
      </c>
      <c r="D73" s="27">
        <v>3043191361.9035001</v>
      </c>
      <c r="E73" s="27">
        <v>2422320437.1738</v>
      </c>
      <c r="F73" s="27">
        <v>620870924.72969997</v>
      </c>
      <c r="G73" s="27">
        <f>VLOOKUP(A73,'[1]saldos al 26May26'!$C$2:$I$1010,7,FALSE)</f>
        <v>-206913630.83000001</v>
      </c>
      <c r="H73" s="27"/>
      <c r="I73" s="28" t="s">
        <v>27</v>
      </c>
      <c r="J73" s="29"/>
      <c r="K73" s="25" t="s">
        <v>29</v>
      </c>
      <c r="L73" s="25" t="s">
        <v>30</v>
      </c>
      <c r="M73" s="25" t="s">
        <v>50</v>
      </c>
      <c r="N73" s="25"/>
      <c r="O73" t="s">
        <v>32</v>
      </c>
      <c r="P73" s="32">
        <v>-3455234.49</v>
      </c>
      <c r="Q73" s="30">
        <v>-3765923.97</v>
      </c>
      <c r="R73" s="30">
        <v>10981797.26</v>
      </c>
      <c r="S73" s="30" t="s">
        <v>33</v>
      </c>
      <c r="T73" t="s">
        <v>33</v>
      </c>
      <c r="U73" s="31" t="e">
        <v>#N/A</v>
      </c>
      <c r="V73" t="s">
        <v>34</v>
      </c>
      <c r="Y73" t="e">
        <f>VLOOKUP(A73,[2]!PRGX[[#All],[Proveedor]],1,FALSE)</f>
        <v>#REF!</v>
      </c>
      <c r="Z73">
        <v>99457</v>
      </c>
    </row>
    <row r="74" spans="1:26" x14ac:dyDescent="0.25">
      <c r="A74" s="25">
        <v>36152</v>
      </c>
      <c r="B74" s="25" t="s">
        <v>119</v>
      </c>
      <c r="C74" s="26">
        <v>437209</v>
      </c>
      <c r="D74" s="27">
        <v>2998264469.4384999</v>
      </c>
      <c r="E74" s="27">
        <v>2579667216.8000002</v>
      </c>
      <c r="F74" s="27">
        <v>418597252.63849998</v>
      </c>
      <c r="G74" s="27">
        <f>VLOOKUP(A74,'[1]saldos al 26May26'!$C$2:$I$1010,7,FALSE)</f>
        <v>-108023641.64</v>
      </c>
      <c r="H74" s="27"/>
      <c r="I74" s="28" t="s">
        <v>27</v>
      </c>
      <c r="J74" s="29"/>
      <c r="K74" s="25" t="s">
        <v>29</v>
      </c>
      <c r="L74" s="25" t="s">
        <v>30</v>
      </c>
      <c r="M74" s="25" t="s">
        <v>50</v>
      </c>
      <c r="N74" s="25"/>
      <c r="O74" t="s">
        <v>36</v>
      </c>
      <c r="P74" s="32">
        <v>-1575042.1600000011</v>
      </c>
      <c r="Q74" s="30">
        <v>16695890.289999999</v>
      </c>
      <c r="R74" s="30">
        <v>550000</v>
      </c>
      <c r="S74" s="30" t="s">
        <v>33</v>
      </c>
      <c r="T74" t="s">
        <v>33</v>
      </c>
      <c r="U74" s="31">
        <v>0</v>
      </c>
      <c r="V74" t="s">
        <v>42</v>
      </c>
      <c r="Y74" t="e">
        <f>VLOOKUP(A74,[2]!PRGX[[#All],[Proveedor]],1,FALSE)</f>
        <v>#REF!</v>
      </c>
      <c r="Z74">
        <v>36152</v>
      </c>
    </row>
    <row r="75" spans="1:26" x14ac:dyDescent="0.25">
      <c r="A75" s="25">
        <v>73049</v>
      </c>
      <c r="B75" s="25" t="s">
        <v>120</v>
      </c>
      <c r="C75" s="26">
        <v>111909</v>
      </c>
      <c r="D75" s="27">
        <v>2973082163.7470002</v>
      </c>
      <c r="E75" s="27">
        <v>2756333151.3870001</v>
      </c>
      <c r="F75" s="27">
        <v>216749012.36000001</v>
      </c>
      <c r="G75" s="27">
        <f>VLOOKUP(A75,'[1]saldos al 26May26'!$C$2:$I$1010,7,FALSE)</f>
        <v>-12171626.15</v>
      </c>
      <c r="H75" s="27"/>
      <c r="I75" s="28" t="s">
        <v>27</v>
      </c>
      <c r="J75" s="29"/>
      <c r="K75" s="25" t="s">
        <v>29</v>
      </c>
      <c r="L75" s="25" t="s">
        <v>30</v>
      </c>
      <c r="M75" s="25" t="s">
        <v>50</v>
      </c>
      <c r="N75" s="25"/>
      <c r="O75" t="s">
        <v>45</v>
      </c>
      <c r="P75" s="30">
        <v>2080884.15</v>
      </c>
      <c r="Q75" s="30">
        <v>1001680.8</v>
      </c>
      <c r="R75" s="30"/>
      <c r="S75" s="30" t="s">
        <v>33</v>
      </c>
      <c r="T75" t="s">
        <v>33</v>
      </c>
      <c r="U75" s="31" t="e">
        <v>#N/A</v>
      </c>
      <c r="V75" t="s">
        <v>34</v>
      </c>
      <c r="Y75" t="e">
        <f>VLOOKUP(A75,[2]!PRGX[[#All],[Proveedor]],1,FALSE)</f>
        <v>#REF!</v>
      </c>
      <c r="Z75">
        <v>73049</v>
      </c>
    </row>
    <row r="76" spans="1:26" x14ac:dyDescent="0.25">
      <c r="A76" s="25">
        <v>21329</v>
      </c>
      <c r="B76" s="25" t="s">
        <v>121</v>
      </c>
      <c r="C76" s="26">
        <v>22597529</v>
      </c>
      <c r="D76" s="27">
        <v>2954148375.349</v>
      </c>
      <c r="E76" s="27">
        <v>2950834279.059</v>
      </c>
      <c r="F76" s="27">
        <v>3314096.29</v>
      </c>
      <c r="G76" s="27">
        <f>VLOOKUP(A76,'[1]saldos al 26May26'!$C$2:$I$1010,7,FALSE)</f>
        <v>-1415093.15</v>
      </c>
      <c r="H76" s="27"/>
      <c r="I76" s="28" t="s">
        <v>27</v>
      </c>
      <c r="J76" s="29"/>
      <c r="K76" s="25" t="s">
        <v>29</v>
      </c>
      <c r="L76" s="25" t="s">
        <v>30</v>
      </c>
      <c r="M76" s="25" t="s">
        <v>31</v>
      </c>
      <c r="N76" s="25"/>
      <c r="O76" t="s">
        <v>38</v>
      </c>
      <c r="P76" s="30">
        <v>7453370.96</v>
      </c>
      <c r="Q76" s="30">
        <v>3311128.66</v>
      </c>
      <c r="R76" s="30"/>
      <c r="S76" s="30" t="s">
        <v>33</v>
      </c>
      <c r="T76" t="s">
        <v>33</v>
      </c>
      <c r="U76" s="31" t="e">
        <v>#N/A</v>
      </c>
      <c r="V76" t="s">
        <v>34</v>
      </c>
      <c r="Y76" t="e">
        <f>VLOOKUP(A76,[2]!PRGX[[#All],[Proveedor]],1,FALSE)</f>
        <v>#REF!</v>
      </c>
      <c r="Z76">
        <v>21329</v>
      </c>
    </row>
    <row r="77" spans="1:26" x14ac:dyDescent="0.25">
      <c r="A77" s="25">
        <v>90738</v>
      </c>
      <c r="B77" s="48" t="s">
        <v>118</v>
      </c>
      <c r="C77" s="49">
        <v>118937</v>
      </c>
      <c r="D77" s="50">
        <v>2855355590.1753001</v>
      </c>
      <c r="E77" s="27">
        <v>2227611472.2886</v>
      </c>
      <c r="F77" s="50">
        <v>627744117.88670003</v>
      </c>
      <c r="G77" s="27">
        <f>VLOOKUP(A77,'[1]saldos al 26May26'!$C$2:$I$1010,7,FALSE)</f>
        <v>-282864466.43000001</v>
      </c>
      <c r="H77" s="27"/>
      <c r="I77" s="28" t="s">
        <v>27</v>
      </c>
      <c r="J77" s="51"/>
      <c r="K77" s="25" t="s">
        <v>29</v>
      </c>
      <c r="L77" s="25" t="s">
        <v>30</v>
      </c>
      <c r="M77" s="25" t="s">
        <v>50</v>
      </c>
      <c r="N77" s="25"/>
      <c r="O77" t="s">
        <v>47</v>
      </c>
      <c r="P77" s="32">
        <v>-5251671.84</v>
      </c>
      <c r="Q77" s="30">
        <v>2313794.65</v>
      </c>
      <c r="R77" s="30"/>
      <c r="S77" s="30" t="s">
        <v>33</v>
      </c>
      <c r="T77" t="s">
        <v>33</v>
      </c>
      <c r="U77" s="31" t="e">
        <v>#N/A</v>
      </c>
      <c r="V77" t="s">
        <v>34</v>
      </c>
      <c r="Y77" t="e">
        <f>VLOOKUP(A77,[2]!PRGX[[#All],[Proveedor]],1,FALSE)</f>
        <v>#REF!</v>
      </c>
      <c r="Z77">
        <v>90738</v>
      </c>
    </row>
    <row r="78" spans="1:26" x14ac:dyDescent="0.25">
      <c r="A78" s="36">
        <v>87841</v>
      </c>
      <c r="B78" s="36" t="s">
        <v>122</v>
      </c>
      <c r="C78" s="37">
        <v>11933</v>
      </c>
      <c r="D78" s="38">
        <v>2854692477.9000001</v>
      </c>
      <c r="E78" s="38">
        <v>1858021794.7</v>
      </c>
      <c r="F78" s="38">
        <v>996670683.20000005</v>
      </c>
      <c r="G78" s="38">
        <f>VLOOKUP(A78,'[1]saldos al 26May26'!$C$2:$I$1010,7,FALSE)</f>
        <v>0</v>
      </c>
      <c r="H78" s="39" t="s">
        <v>54</v>
      </c>
      <c r="I78" s="40" t="s">
        <v>27</v>
      </c>
      <c r="J78" s="41"/>
      <c r="K78" s="36" t="s">
        <v>29</v>
      </c>
      <c r="L78" s="36" t="s">
        <v>30</v>
      </c>
      <c r="M78" s="36" t="s">
        <v>55</v>
      </c>
      <c r="N78" s="25"/>
      <c r="O78" s="42" t="s">
        <v>51</v>
      </c>
      <c r="P78" s="30">
        <v>4957428.2</v>
      </c>
      <c r="Q78" s="30">
        <v>2503282.3199999998</v>
      </c>
      <c r="R78" s="30"/>
      <c r="S78" s="30" t="s">
        <v>33</v>
      </c>
      <c r="T78" t="s">
        <v>33</v>
      </c>
      <c r="U78" s="31" t="e">
        <v>#N/A</v>
      </c>
      <c r="V78" t="s">
        <v>34</v>
      </c>
      <c r="Y78" t="e">
        <f>VLOOKUP(A78,[2]!PRGX[[#All],[Proveedor]],1,FALSE)</f>
        <v>#REF!</v>
      </c>
      <c r="Z78">
        <v>87841</v>
      </c>
    </row>
    <row r="79" spans="1:26" x14ac:dyDescent="0.25">
      <c r="A79" s="25">
        <v>97071</v>
      </c>
      <c r="B79" s="25" t="s">
        <v>123</v>
      </c>
      <c r="C79" s="26">
        <v>452441</v>
      </c>
      <c r="D79" s="27">
        <v>2827023052.3540001</v>
      </c>
      <c r="E79" s="27">
        <v>2356668095.5240002</v>
      </c>
      <c r="F79" s="27">
        <v>470354956.82999998</v>
      </c>
      <c r="G79" s="27">
        <f>VLOOKUP(A79,'[1]saldos al 26May26'!$C$2:$I$1010,7,FALSE)</f>
        <v>-237284017.06</v>
      </c>
      <c r="H79" s="27"/>
      <c r="I79" s="28" t="s">
        <v>27</v>
      </c>
      <c r="J79" s="29"/>
      <c r="K79" s="25" t="s">
        <v>29</v>
      </c>
      <c r="L79" s="25" t="s">
        <v>30</v>
      </c>
      <c r="M79" s="25" t="s">
        <v>59</v>
      </c>
      <c r="N79" s="25"/>
      <c r="O79" t="s">
        <v>51</v>
      </c>
      <c r="P79" s="30">
        <v>1794241.4600000009</v>
      </c>
      <c r="Q79" s="30">
        <v>2628845.2600000002</v>
      </c>
      <c r="R79" s="30">
        <v>6520400.5300000003</v>
      </c>
      <c r="S79" s="30" t="s">
        <v>33</v>
      </c>
      <c r="T79" t="s">
        <v>33</v>
      </c>
      <c r="U79" s="31" t="e">
        <v>#N/A</v>
      </c>
      <c r="V79" t="s">
        <v>34</v>
      </c>
      <c r="Y79" t="e">
        <f>VLOOKUP(A79,[2]!PRGX[[#All],[Proveedor]],1,FALSE)</f>
        <v>#REF!</v>
      </c>
      <c r="Z79">
        <v>97071</v>
      </c>
    </row>
    <row r="80" spans="1:26" x14ac:dyDescent="0.25">
      <c r="A80" s="25">
        <v>43836</v>
      </c>
      <c r="B80" s="25" t="s">
        <v>124</v>
      </c>
      <c r="C80" s="26">
        <v>309119</v>
      </c>
      <c r="D80" s="27">
        <v>2822926883.0602999</v>
      </c>
      <c r="E80" s="27">
        <v>2642280618.6573</v>
      </c>
      <c r="F80" s="27">
        <v>180646264.403</v>
      </c>
      <c r="G80" s="27">
        <f>VLOOKUP(A80,'[1]saldos al 26May26'!$C$2:$I$1010,7,FALSE)</f>
        <v>-23858741.129999999</v>
      </c>
      <c r="H80" s="27"/>
      <c r="I80" s="28" t="s">
        <v>27</v>
      </c>
      <c r="J80" s="29"/>
      <c r="K80" s="25" t="s">
        <v>29</v>
      </c>
      <c r="L80" s="25" t="s">
        <v>30</v>
      </c>
      <c r="M80" s="25" t="s">
        <v>31</v>
      </c>
      <c r="N80" s="25"/>
      <c r="O80" t="s">
        <v>36</v>
      </c>
      <c r="P80" s="30">
        <v>120472587.72999999</v>
      </c>
      <c r="Q80" s="30">
        <v>59175.69</v>
      </c>
      <c r="R80" s="30"/>
      <c r="S80" s="30" t="s">
        <v>33</v>
      </c>
      <c r="T80" t="s">
        <v>33</v>
      </c>
      <c r="U80" s="31" t="e">
        <v>#N/A</v>
      </c>
      <c r="V80" t="s">
        <v>34</v>
      </c>
      <c r="Y80" t="e">
        <f>VLOOKUP(A80,[2]!PRGX[[#All],[Proveedor]],1,FALSE)</f>
        <v>#REF!</v>
      </c>
      <c r="Z80">
        <v>43836</v>
      </c>
    </row>
    <row r="81" spans="1:26" x14ac:dyDescent="0.25">
      <c r="A81" s="36">
        <v>22065</v>
      </c>
      <c r="B81" s="36" t="s">
        <v>125</v>
      </c>
      <c r="C81" s="37">
        <v>21311</v>
      </c>
      <c r="D81" s="38">
        <v>230730859.5</v>
      </c>
      <c r="E81" s="38">
        <v>208499779.09999999</v>
      </c>
      <c r="F81" s="38">
        <v>22231080.399999999</v>
      </c>
      <c r="G81" s="38">
        <f>VLOOKUP(A81,'[1]saldos al 26May26'!$C$2:$I$1010,7,FALSE)</f>
        <v>132349.12</v>
      </c>
      <c r="H81" s="39" t="s">
        <v>54</v>
      </c>
      <c r="I81" s="40"/>
      <c r="J81" s="41">
        <v>1346057.297556266</v>
      </c>
      <c r="K81" s="36" t="s">
        <v>40</v>
      </c>
      <c r="L81" s="36" t="s">
        <v>30</v>
      </c>
      <c r="M81" s="36" t="s">
        <v>55</v>
      </c>
      <c r="N81" s="25" t="s">
        <v>56</v>
      </c>
      <c r="O81" s="42" t="s">
        <v>56</v>
      </c>
      <c r="P81" s="32">
        <v>-2282.88</v>
      </c>
      <c r="Q81" s="30">
        <v>0</v>
      </c>
      <c r="R81" s="30"/>
      <c r="S81" s="30" t="e">
        <v>#N/A</v>
      </c>
      <c r="T81" t="s">
        <v>34</v>
      </c>
      <c r="U81" s="31" t="e">
        <v>#N/A</v>
      </c>
      <c r="V81" t="s">
        <v>34</v>
      </c>
      <c r="W81" t="s">
        <v>57</v>
      </c>
      <c r="Y81" t="e">
        <f>VLOOKUP(A81,[2]!PRGX[[#All],[Proveedor]],1,FALSE)</f>
        <v>#REF!</v>
      </c>
    </row>
    <row r="82" spans="1:26" x14ac:dyDescent="0.25">
      <c r="A82" s="25">
        <v>52670</v>
      </c>
      <c r="B82" s="25" t="s">
        <v>126</v>
      </c>
      <c r="C82" s="26">
        <v>367180</v>
      </c>
      <c r="D82" s="27">
        <v>2725430406.8635998</v>
      </c>
      <c r="E82" s="27">
        <v>2290671542.7735996</v>
      </c>
      <c r="F82" s="27">
        <v>434758864.08999997</v>
      </c>
      <c r="G82" s="27">
        <f>VLOOKUP(A82,'[1]saldos al 26May26'!$C$2:$I$1010,7,FALSE)</f>
        <v>-37863880.509999998</v>
      </c>
      <c r="H82" s="27"/>
      <c r="I82" s="28" t="s">
        <v>27</v>
      </c>
      <c r="J82" s="29"/>
      <c r="K82" s="25" t="s">
        <v>29</v>
      </c>
      <c r="L82" s="25" t="s">
        <v>30</v>
      </c>
      <c r="M82" s="25" t="s">
        <v>59</v>
      </c>
      <c r="N82" s="25"/>
      <c r="O82" t="s">
        <v>36</v>
      </c>
      <c r="P82" s="32">
        <v>-9570641.209999999</v>
      </c>
      <c r="Q82" s="30">
        <v>3462655.58</v>
      </c>
      <c r="R82" s="30">
        <v>99973</v>
      </c>
      <c r="S82" s="30" t="s">
        <v>63</v>
      </c>
      <c r="T82" t="s">
        <v>33</v>
      </c>
      <c r="U82" s="31" t="s">
        <v>33</v>
      </c>
      <c r="V82" t="s">
        <v>33</v>
      </c>
      <c r="Y82" t="e">
        <f>VLOOKUP(A82,[2]!PRGX[[#All],[Proveedor]],1,FALSE)</f>
        <v>#REF!</v>
      </c>
      <c r="Z82">
        <v>52670</v>
      </c>
    </row>
    <row r="83" spans="1:26" x14ac:dyDescent="0.25">
      <c r="A83" s="25">
        <v>329417</v>
      </c>
      <c r="B83" s="25" t="s">
        <v>127</v>
      </c>
      <c r="C83" s="26">
        <v>161551</v>
      </c>
      <c r="D83" s="27">
        <v>2705359618.7150002</v>
      </c>
      <c r="E83" s="27">
        <v>2590984347.2850003</v>
      </c>
      <c r="F83" s="27">
        <v>114375271.43000001</v>
      </c>
      <c r="G83" s="27">
        <f>VLOOKUP(A83,'[1]saldos al 26May26'!$C$2:$I$1010,7,FALSE)</f>
        <v>-6516531.8700000001</v>
      </c>
      <c r="H83" s="27"/>
      <c r="I83" s="28" t="s">
        <v>27</v>
      </c>
      <c r="J83" s="29"/>
      <c r="K83" s="25" t="s">
        <v>29</v>
      </c>
      <c r="L83" s="25" t="s">
        <v>30</v>
      </c>
      <c r="M83" s="25" t="s">
        <v>59</v>
      </c>
      <c r="N83" s="25"/>
      <c r="O83" t="s">
        <v>87</v>
      </c>
      <c r="P83" s="30">
        <v>8679471.3000000007</v>
      </c>
      <c r="Q83" s="30">
        <v>-16117.8</v>
      </c>
      <c r="R83" s="30"/>
      <c r="S83" s="30" t="s">
        <v>33</v>
      </c>
      <c r="T83" t="s">
        <v>33</v>
      </c>
      <c r="U83" s="31" t="e">
        <v>#N/A</v>
      </c>
      <c r="V83" t="s">
        <v>34</v>
      </c>
      <c r="Y83" t="e">
        <f>VLOOKUP(A83,[2]!PRGX[[#All],[Proveedor]],1,FALSE)</f>
        <v>#REF!</v>
      </c>
      <c r="Z83">
        <v>329417</v>
      </c>
    </row>
    <row r="84" spans="1:26" x14ac:dyDescent="0.25">
      <c r="A84" s="25">
        <v>22446</v>
      </c>
      <c r="B84" s="25" t="s">
        <v>128</v>
      </c>
      <c r="C84" s="26">
        <v>50487</v>
      </c>
      <c r="D84" s="27">
        <v>2513591717.5538001</v>
      </c>
      <c r="E84" s="27">
        <v>1432826286.1144001</v>
      </c>
      <c r="F84" s="27">
        <v>1080765431.4394</v>
      </c>
      <c r="G84" s="27">
        <f>VLOOKUP(A84,'[1]saldos al 26May26'!$C$2:$I$1010,7,FALSE)</f>
        <v>-10982525.890000001</v>
      </c>
      <c r="H84" s="27"/>
      <c r="I84" s="28" t="s">
        <v>27</v>
      </c>
      <c r="J84" s="29"/>
      <c r="K84" s="25" t="s">
        <v>29</v>
      </c>
      <c r="L84" s="25" t="s">
        <v>30</v>
      </c>
      <c r="M84" s="25" t="s">
        <v>50</v>
      </c>
      <c r="N84" s="25"/>
      <c r="O84" t="s">
        <v>45</v>
      </c>
      <c r="P84" s="30">
        <v>3665648.0300000003</v>
      </c>
      <c r="Q84" s="30">
        <v>3574019.92</v>
      </c>
      <c r="R84" s="30">
        <v>580527</v>
      </c>
      <c r="S84" s="30" t="s">
        <v>33</v>
      </c>
      <c r="T84" t="s">
        <v>33</v>
      </c>
      <c r="U84" s="31" t="e">
        <v>#N/A</v>
      </c>
      <c r="V84" t="s">
        <v>34</v>
      </c>
      <c r="Y84" t="e">
        <f>VLOOKUP(A84,[2]!PRGX[[#All],[Proveedor]],1,FALSE)</f>
        <v>#REF!</v>
      </c>
      <c r="Z84">
        <v>22446</v>
      </c>
    </row>
    <row r="85" spans="1:26" x14ac:dyDescent="0.25">
      <c r="A85" s="25">
        <v>54569</v>
      </c>
      <c r="B85" s="25" t="s">
        <v>129</v>
      </c>
      <c r="C85" s="26">
        <v>261668</v>
      </c>
      <c r="D85" s="27">
        <v>2501458444.2473001</v>
      </c>
      <c r="E85" s="27">
        <v>2037819075.3668001</v>
      </c>
      <c r="F85" s="27">
        <v>463639368.88050002</v>
      </c>
      <c r="G85" s="27">
        <f>VLOOKUP(A85,'[1]saldos al 26May26'!$C$2:$I$1010,7,FALSE)</f>
        <v>-96439373.019999996</v>
      </c>
      <c r="H85" s="27"/>
      <c r="I85" s="28" t="s">
        <v>27</v>
      </c>
      <c r="J85" s="29"/>
      <c r="K85" s="25" t="s">
        <v>29</v>
      </c>
      <c r="L85" s="25" t="s">
        <v>30</v>
      </c>
      <c r="M85" s="25" t="s">
        <v>50</v>
      </c>
      <c r="N85" s="25"/>
      <c r="O85" t="s">
        <v>32</v>
      </c>
      <c r="P85" s="30">
        <v>4332679.0300000012</v>
      </c>
      <c r="Q85" s="30">
        <v>22860370.870000001</v>
      </c>
      <c r="R85" s="30"/>
      <c r="S85" s="30" t="s">
        <v>33</v>
      </c>
      <c r="T85" t="s">
        <v>33</v>
      </c>
      <c r="U85" s="31" t="e">
        <v>#N/A</v>
      </c>
      <c r="V85" t="s">
        <v>34</v>
      </c>
      <c r="Y85" t="e">
        <f>VLOOKUP(A85,[2]!PRGX[[#All],[Proveedor]],1,FALSE)</f>
        <v>#REF!</v>
      </c>
      <c r="Z85">
        <v>54569</v>
      </c>
    </row>
    <row r="86" spans="1:26" x14ac:dyDescent="0.25">
      <c r="A86" s="25">
        <v>228163</v>
      </c>
      <c r="B86" s="25" t="s">
        <v>130</v>
      </c>
      <c r="C86" s="26">
        <v>1023073</v>
      </c>
      <c r="D86" s="27">
        <v>2496749166.4991002</v>
      </c>
      <c r="E86" s="27">
        <v>2291695844.4831004</v>
      </c>
      <c r="F86" s="27">
        <v>205053322.016</v>
      </c>
      <c r="G86" s="27">
        <f>VLOOKUP(A86,'[1]saldos al 26May26'!$C$2:$I$1010,7,FALSE)</f>
        <v>-16181382.119999999</v>
      </c>
      <c r="H86" s="27"/>
      <c r="I86" s="28" t="s">
        <v>27</v>
      </c>
      <c r="J86" s="29"/>
      <c r="K86" s="25" t="s">
        <v>29</v>
      </c>
      <c r="L86" s="25" t="s">
        <v>30</v>
      </c>
      <c r="M86" s="25" t="s">
        <v>59</v>
      </c>
      <c r="N86" s="25"/>
      <c r="O86" t="s">
        <v>41</v>
      </c>
      <c r="P86" s="30">
        <v>36639784.600000001</v>
      </c>
      <c r="Q86" s="30">
        <v>-2000370.42</v>
      </c>
      <c r="R86" s="30">
        <v>91009.45</v>
      </c>
      <c r="S86" s="30" t="s">
        <v>63</v>
      </c>
      <c r="T86" t="s">
        <v>33</v>
      </c>
      <c r="U86" s="31" t="e">
        <v>#N/A</v>
      </c>
      <c r="V86" t="s">
        <v>42</v>
      </c>
      <c r="Y86" t="e">
        <f>VLOOKUP(A86,[2]!PRGX[[#All],[Proveedor]],1,FALSE)</f>
        <v>#REF!</v>
      </c>
      <c r="Z86">
        <v>228163</v>
      </c>
    </row>
    <row r="87" spans="1:26" x14ac:dyDescent="0.25">
      <c r="A87" s="25">
        <v>54908</v>
      </c>
      <c r="B87" s="25" t="s">
        <v>131</v>
      </c>
      <c r="C87" s="26">
        <v>1307342</v>
      </c>
      <c r="D87" s="27">
        <v>2422052112.2412</v>
      </c>
      <c r="E87" s="27">
        <v>1955071357.5037999</v>
      </c>
      <c r="F87" s="27">
        <v>466980754.7374</v>
      </c>
      <c r="G87" s="27">
        <f>VLOOKUP(A87,'[1]saldos al 26May26'!$C$2:$I$1010,7,FALSE)</f>
        <v>-25276762</v>
      </c>
      <c r="H87" s="27"/>
      <c r="I87" s="28" t="s">
        <v>27</v>
      </c>
      <c r="J87" s="29"/>
      <c r="K87" s="25" t="s">
        <v>29</v>
      </c>
      <c r="L87" s="25" t="s">
        <v>30</v>
      </c>
      <c r="M87" s="25" t="s">
        <v>59</v>
      </c>
      <c r="N87" s="25"/>
      <c r="O87" t="s">
        <v>47</v>
      </c>
      <c r="P87" s="32">
        <v>-1580188.1799999988</v>
      </c>
      <c r="Q87" s="30">
        <v>603673.80000000005</v>
      </c>
      <c r="R87" s="30"/>
      <c r="S87" s="30" t="s">
        <v>33</v>
      </c>
      <c r="T87" t="s">
        <v>33</v>
      </c>
      <c r="U87" s="31" t="s">
        <v>33</v>
      </c>
      <c r="V87" t="s">
        <v>33</v>
      </c>
      <c r="Y87" t="e">
        <f>VLOOKUP(A87,[2]!PRGX[[#All],[Proveedor]],1,FALSE)</f>
        <v>#REF!</v>
      </c>
      <c r="Z87">
        <v>54908</v>
      </c>
    </row>
    <row r="88" spans="1:26" x14ac:dyDescent="0.25">
      <c r="A88" s="25">
        <v>64014</v>
      </c>
      <c r="B88" s="25" t="s">
        <v>132</v>
      </c>
      <c r="C88" s="26">
        <v>233883</v>
      </c>
      <c r="D88" s="27">
        <v>2396392520.3291001</v>
      </c>
      <c r="E88" s="27">
        <v>1985174365.5431001</v>
      </c>
      <c r="F88" s="27">
        <v>411218154.78600001</v>
      </c>
      <c r="G88" s="27">
        <f>VLOOKUP(A88,'[1]saldos al 26May26'!$C$2:$I$1010,7,FALSE)</f>
        <v>-69421509.370000005</v>
      </c>
      <c r="H88" s="27"/>
      <c r="I88" s="28" t="s">
        <v>27</v>
      </c>
      <c r="J88" s="29"/>
      <c r="K88" s="25" t="s">
        <v>29</v>
      </c>
      <c r="L88" s="25" t="s">
        <v>30</v>
      </c>
      <c r="M88" s="25" t="s">
        <v>59</v>
      </c>
      <c r="N88" s="25"/>
      <c r="O88" t="s">
        <v>38</v>
      </c>
      <c r="P88" s="30">
        <v>11171043.439999999</v>
      </c>
      <c r="Q88" s="30">
        <v>33808195.060000002</v>
      </c>
      <c r="R88" s="30"/>
      <c r="S88" s="30" t="s">
        <v>33</v>
      </c>
      <c r="T88" t="s">
        <v>33</v>
      </c>
      <c r="U88" s="31" t="e">
        <v>#N/A</v>
      </c>
      <c r="V88" t="s">
        <v>34</v>
      </c>
      <c r="Y88" t="e">
        <f>VLOOKUP(A88,[2]!PRGX[[#All],[Proveedor]],1,FALSE)</f>
        <v>#REF!</v>
      </c>
      <c r="Z88">
        <v>64014</v>
      </c>
    </row>
    <row r="89" spans="1:26" x14ac:dyDescent="0.25">
      <c r="A89" s="25">
        <v>213330</v>
      </c>
      <c r="B89" s="25" t="s">
        <v>133</v>
      </c>
      <c r="C89" s="26">
        <v>40171</v>
      </c>
      <c r="D89" s="27">
        <v>2322814431.8034</v>
      </c>
      <c r="E89" s="27">
        <v>2312941219.8034</v>
      </c>
      <c r="F89" s="27">
        <v>9873212</v>
      </c>
      <c r="G89" s="27">
        <f>VLOOKUP(A89,'[1]saldos al 26May26'!$C$2:$I$1010,7,FALSE)</f>
        <v>-533226</v>
      </c>
      <c r="H89" s="27"/>
      <c r="I89" s="28"/>
      <c r="J89" s="29"/>
      <c r="K89" s="25" t="s">
        <v>29</v>
      </c>
      <c r="L89" s="25" t="s">
        <v>30</v>
      </c>
      <c r="M89" s="25" t="s">
        <v>59</v>
      </c>
      <c r="N89" s="25"/>
      <c r="O89" t="s">
        <v>51</v>
      </c>
      <c r="P89" s="30">
        <v>138747.34999999998</v>
      </c>
      <c r="Q89" s="30">
        <v>0</v>
      </c>
      <c r="R89" s="30">
        <v>15234</v>
      </c>
      <c r="S89" s="30" t="s">
        <v>33</v>
      </c>
      <c r="T89" t="s">
        <v>33</v>
      </c>
      <c r="U89" s="31" t="e">
        <v>#N/A</v>
      </c>
      <c r="V89" t="s">
        <v>34</v>
      </c>
      <c r="Y89" t="e">
        <f>VLOOKUP(A89,[2]!PRGX[[#All],[Proveedor]],1,FALSE)</f>
        <v>#REF!</v>
      </c>
    </row>
    <row r="90" spans="1:26" x14ac:dyDescent="0.25">
      <c r="A90" s="25">
        <v>38893</v>
      </c>
      <c r="B90" s="25" t="s">
        <v>134</v>
      </c>
      <c r="C90" s="26">
        <v>97559</v>
      </c>
      <c r="D90" s="27">
        <v>2298603728.2849998</v>
      </c>
      <c r="E90" s="27">
        <v>1965483804.04</v>
      </c>
      <c r="F90" s="27">
        <v>333119924.245</v>
      </c>
      <c r="G90" s="27">
        <f>VLOOKUP(A90,'[1]saldos al 26May26'!$C$2:$I$1010,7,FALSE)</f>
        <v>-94657034.329999998</v>
      </c>
      <c r="H90" s="27"/>
      <c r="I90" s="28" t="s">
        <v>27</v>
      </c>
      <c r="J90" s="29"/>
      <c r="K90" s="25" t="s">
        <v>29</v>
      </c>
      <c r="L90" s="25" t="s">
        <v>30</v>
      </c>
      <c r="M90" s="25" t="s">
        <v>59</v>
      </c>
      <c r="N90" s="25"/>
      <c r="O90" t="s">
        <v>47</v>
      </c>
      <c r="P90" s="30">
        <v>89595347.090000004</v>
      </c>
      <c r="Q90" s="30">
        <v>15754289.84</v>
      </c>
      <c r="R90" s="30">
        <v>1292273.71</v>
      </c>
      <c r="S90" s="30" t="s">
        <v>33</v>
      </c>
      <c r="T90" t="s">
        <v>33</v>
      </c>
      <c r="U90" s="31">
        <v>0</v>
      </c>
      <c r="V90" t="s">
        <v>34</v>
      </c>
      <c r="Y90" t="e">
        <f>VLOOKUP(A90,[2]!PRGX[[#All],[Proveedor]],1,FALSE)</f>
        <v>#REF!</v>
      </c>
      <c r="Z90">
        <v>38893</v>
      </c>
    </row>
    <row r="91" spans="1:26" x14ac:dyDescent="0.25">
      <c r="A91" s="25">
        <v>56184</v>
      </c>
      <c r="B91" s="25" t="s">
        <v>135</v>
      </c>
      <c r="C91" s="26">
        <v>67886</v>
      </c>
      <c r="D91" s="27">
        <v>2256891681.5472002</v>
      </c>
      <c r="E91" s="27">
        <v>1707318261.8112001</v>
      </c>
      <c r="F91" s="27">
        <v>549573419.73599994</v>
      </c>
      <c r="G91" s="27">
        <f>VLOOKUP(A91,'[1]saldos al 26May26'!$C$2:$I$1010,7,FALSE)</f>
        <v>-56803562.049999997</v>
      </c>
      <c r="H91" s="27"/>
      <c r="I91" s="28" t="s">
        <v>27</v>
      </c>
      <c r="J91" s="29"/>
      <c r="K91" s="25" t="s">
        <v>29</v>
      </c>
      <c r="L91" s="25" t="s">
        <v>30</v>
      </c>
      <c r="M91" s="25" t="s">
        <v>50</v>
      </c>
      <c r="N91" s="25"/>
      <c r="O91" t="s">
        <v>80</v>
      </c>
      <c r="P91" s="32">
        <v>-2911467.9799999995</v>
      </c>
      <c r="Q91" s="30">
        <v>1343170.54</v>
      </c>
      <c r="R91" s="30">
        <v>3648011.44</v>
      </c>
      <c r="S91" s="30" t="s">
        <v>33</v>
      </c>
      <c r="T91" t="s">
        <v>33</v>
      </c>
      <c r="U91" s="31" t="e">
        <v>#N/A</v>
      </c>
      <c r="V91" t="s">
        <v>34</v>
      </c>
      <c r="Y91" t="e">
        <f>VLOOKUP(A91,[2]!PRGX[[#All],[Proveedor]],1,FALSE)</f>
        <v>#REF!</v>
      </c>
      <c r="Z91">
        <v>56184</v>
      </c>
    </row>
    <row r="92" spans="1:26" x14ac:dyDescent="0.25">
      <c r="A92" s="25">
        <v>68080</v>
      </c>
      <c r="B92" s="25" t="s">
        <v>136</v>
      </c>
      <c r="C92" s="26">
        <v>27518</v>
      </c>
      <c r="D92" s="27">
        <v>2159129215.9330001</v>
      </c>
      <c r="E92" s="27">
        <v>2107661999.1230001</v>
      </c>
      <c r="F92" s="27">
        <v>51467216.810000002</v>
      </c>
      <c r="G92" s="27">
        <f>VLOOKUP(A92,'[1]saldos al 26May26'!$C$2:$I$1010,7,FALSE)</f>
        <v>-996876.07</v>
      </c>
      <c r="H92" s="27"/>
      <c r="I92" s="28"/>
      <c r="J92" s="29"/>
      <c r="K92" s="25" t="s">
        <v>29</v>
      </c>
      <c r="L92" s="25" t="s">
        <v>30</v>
      </c>
      <c r="M92" s="25" t="s">
        <v>59</v>
      </c>
      <c r="N92" s="25"/>
      <c r="O92" t="s">
        <v>47</v>
      </c>
      <c r="P92" s="32">
        <v>-406526.92999999993</v>
      </c>
      <c r="Q92" s="30">
        <v>-287432.67</v>
      </c>
      <c r="R92" s="30"/>
      <c r="S92" s="30" t="s">
        <v>63</v>
      </c>
      <c r="T92" t="s">
        <v>33</v>
      </c>
      <c r="U92" s="31" t="e">
        <v>#N/A</v>
      </c>
      <c r="V92" t="s">
        <v>34</v>
      </c>
      <c r="W92" s="42"/>
      <c r="Y92" t="e">
        <f>VLOOKUP(A92,[2]!PRGX[[#All],[Proveedor]],1,FALSE)</f>
        <v>#REF!</v>
      </c>
    </row>
    <row r="93" spans="1:26" x14ac:dyDescent="0.25">
      <c r="A93" s="25">
        <v>23597</v>
      </c>
      <c r="B93" s="25" t="s">
        <v>137</v>
      </c>
      <c r="C93" s="26">
        <v>16840</v>
      </c>
      <c r="D93" s="27">
        <v>2026347558.9000001</v>
      </c>
      <c r="E93" s="27">
        <v>1856170860.6500001</v>
      </c>
      <c r="F93" s="27">
        <v>170176698.25</v>
      </c>
      <c r="G93" s="27">
        <f>VLOOKUP(A93,'[1]saldos al 26May26'!$C$2:$I$1010,7,FALSE)</f>
        <v>-111675066.45</v>
      </c>
      <c r="H93" s="27"/>
      <c r="I93" s="28" t="s">
        <v>27</v>
      </c>
      <c r="J93" s="29"/>
      <c r="K93" s="25" t="s">
        <v>29</v>
      </c>
      <c r="L93" s="25" t="s">
        <v>30</v>
      </c>
      <c r="M93" s="25" t="s">
        <v>59</v>
      </c>
      <c r="N93" s="25"/>
      <c r="O93" t="s">
        <v>87</v>
      </c>
      <c r="P93" s="32">
        <v>-7507834.8699999992</v>
      </c>
      <c r="Q93" s="30">
        <v>4822649.2799999993</v>
      </c>
      <c r="R93" s="30">
        <v>1000</v>
      </c>
      <c r="S93" s="30" t="s">
        <v>33</v>
      </c>
      <c r="T93" t="s">
        <v>33</v>
      </c>
      <c r="U93" s="31" t="s">
        <v>33</v>
      </c>
      <c r="V93" t="s">
        <v>33</v>
      </c>
      <c r="Y93" t="e">
        <f>VLOOKUP(A93,[2]!PRGX[[#All],[Proveedor]],1,FALSE)</f>
        <v>#REF!</v>
      </c>
      <c r="Z93">
        <v>23597</v>
      </c>
    </row>
    <row r="94" spans="1:26" x14ac:dyDescent="0.25">
      <c r="A94" s="52">
        <v>380204</v>
      </c>
      <c r="B94" s="52" t="s">
        <v>138</v>
      </c>
      <c r="C94" s="53">
        <v>576</v>
      </c>
      <c r="D94" s="54">
        <v>123465099.8</v>
      </c>
      <c r="E94" s="27">
        <v>91873273.729999989</v>
      </c>
      <c r="F94" s="27">
        <v>31591826.07</v>
      </c>
      <c r="G94" s="54">
        <f>VLOOKUP(A94,'[1]saldos al 26May26'!$C$2:$I$1010,7,FALSE)</f>
        <v>-11801097.92</v>
      </c>
      <c r="H94" s="54"/>
      <c r="I94" s="55"/>
      <c r="J94" s="56">
        <v>1227955.20984204</v>
      </c>
      <c r="K94" s="52" t="s">
        <v>40</v>
      </c>
      <c r="L94" s="52" t="s">
        <v>30</v>
      </c>
      <c r="M94" s="52" t="s">
        <v>59</v>
      </c>
      <c r="N94" s="52" t="s">
        <v>56</v>
      </c>
      <c r="O94" s="57" t="s">
        <v>56</v>
      </c>
      <c r="P94" s="58">
        <v>687482.08</v>
      </c>
      <c r="Q94" s="58">
        <v>2090123.15</v>
      </c>
      <c r="R94" s="30"/>
      <c r="S94" s="30" t="e">
        <v>#N/A</v>
      </c>
      <c r="T94" s="57" t="s">
        <v>34</v>
      </c>
      <c r="U94" s="31" t="e">
        <v>#N/A</v>
      </c>
      <c r="V94" s="57" t="s">
        <v>34</v>
      </c>
      <c r="W94" t="s">
        <v>139</v>
      </c>
      <c r="X94" t="s">
        <v>43</v>
      </c>
      <c r="Y94" t="e">
        <f>VLOOKUP(A94,[2]!PRGX[[#All],[Proveedor]],1,FALSE)</f>
        <v>#REF!</v>
      </c>
    </row>
    <row r="95" spans="1:26" x14ac:dyDescent="0.25">
      <c r="A95" s="25">
        <v>96909</v>
      </c>
      <c r="B95" s="25" t="s">
        <v>140</v>
      </c>
      <c r="C95" s="26">
        <v>103049</v>
      </c>
      <c r="D95" s="27">
        <v>2018312299.8210001</v>
      </c>
      <c r="E95" s="27">
        <v>1617055862.8890002</v>
      </c>
      <c r="F95" s="27">
        <v>401256436.93199998</v>
      </c>
      <c r="G95" s="27">
        <f>VLOOKUP(A95,'[1]saldos al 26May26'!$C$2:$I$1010,7,FALSE)</f>
        <v>-24844122.550000001</v>
      </c>
      <c r="H95" s="27"/>
      <c r="I95" s="28" t="s">
        <v>27</v>
      </c>
      <c r="J95" s="29"/>
      <c r="K95" s="25" t="s">
        <v>29</v>
      </c>
      <c r="L95" s="25" t="s">
        <v>30</v>
      </c>
      <c r="M95" s="25" t="s">
        <v>31</v>
      </c>
      <c r="N95" s="25"/>
      <c r="O95" t="s">
        <v>45</v>
      </c>
      <c r="P95" s="32">
        <v>-57516449.359999999</v>
      </c>
      <c r="Q95" s="30">
        <v>239926.73</v>
      </c>
      <c r="R95" s="30"/>
      <c r="S95" s="30">
        <v>0</v>
      </c>
      <c r="T95" t="s">
        <v>33</v>
      </c>
      <c r="U95" s="31" t="e">
        <v>#N/A</v>
      </c>
      <c r="V95" t="s">
        <v>34</v>
      </c>
      <c r="Y95" t="e">
        <f>VLOOKUP(A95,[2]!PRGX[[#All],[Proveedor]],1,FALSE)</f>
        <v>#REF!</v>
      </c>
      <c r="Z95">
        <v>96909</v>
      </c>
    </row>
    <row r="96" spans="1:26" x14ac:dyDescent="0.25">
      <c r="A96" s="25">
        <v>364</v>
      </c>
      <c r="B96" s="25" t="s">
        <v>141</v>
      </c>
      <c r="C96" s="26">
        <v>80879</v>
      </c>
      <c r="D96" s="27">
        <v>1972584011.78</v>
      </c>
      <c r="E96" s="27">
        <v>1626944859.52</v>
      </c>
      <c r="F96" s="27">
        <v>345639152.25999999</v>
      </c>
      <c r="G96" s="27">
        <f>VLOOKUP(A96,'[1]saldos al 26May26'!$C$2:$I$1010,7,FALSE)</f>
        <v>-63498784.780000001</v>
      </c>
      <c r="H96" s="27"/>
      <c r="I96" s="28" t="s">
        <v>27</v>
      </c>
      <c r="J96" s="29"/>
      <c r="K96" s="25" t="s">
        <v>29</v>
      </c>
      <c r="L96" s="25" t="s">
        <v>30</v>
      </c>
      <c r="M96" s="25" t="s">
        <v>50</v>
      </c>
      <c r="N96" s="25"/>
      <c r="O96" t="s">
        <v>36</v>
      </c>
      <c r="P96" s="30">
        <v>2701245.9900000007</v>
      </c>
      <c r="Q96" s="30">
        <v>7246889.1299999999</v>
      </c>
      <c r="R96" s="30">
        <v>5914321.2299999995</v>
      </c>
      <c r="S96" s="30" t="s">
        <v>33</v>
      </c>
      <c r="T96" t="s">
        <v>33</v>
      </c>
      <c r="U96" s="31" t="e">
        <v>#N/A</v>
      </c>
      <c r="V96" t="s">
        <v>34</v>
      </c>
      <c r="Y96" t="e">
        <f>VLOOKUP(A96,[2]!PRGX[[#All],[Proveedor]],1,FALSE)</f>
        <v>#REF!</v>
      </c>
      <c r="Z96">
        <v>364</v>
      </c>
    </row>
    <row r="97" spans="1:26" x14ac:dyDescent="0.25">
      <c r="A97" s="25">
        <v>395053</v>
      </c>
      <c r="B97" s="25" t="s">
        <v>142</v>
      </c>
      <c r="C97" s="26">
        <v>25849</v>
      </c>
      <c r="D97" s="27">
        <v>1948176364.8199999</v>
      </c>
      <c r="E97" s="27">
        <v>1742496410.76</v>
      </c>
      <c r="F97" s="27">
        <v>205679954.06</v>
      </c>
      <c r="G97" s="27">
        <f>VLOOKUP(A97,'[1]saldos al 26May26'!$C$2:$I$1010,7,FALSE)</f>
        <v>-2465808.46</v>
      </c>
      <c r="H97" s="27"/>
      <c r="I97" s="28" t="s">
        <v>27</v>
      </c>
      <c r="J97" s="29"/>
      <c r="K97" s="25" t="s">
        <v>29</v>
      </c>
      <c r="L97" s="25" t="s">
        <v>30</v>
      </c>
      <c r="M97" s="25" t="s">
        <v>59</v>
      </c>
      <c r="N97" s="25"/>
      <c r="O97" t="s">
        <v>36</v>
      </c>
      <c r="P97" s="32">
        <v>-2781634.2699999996</v>
      </c>
      <c r="Q97" s="30">
        <v>65248.5</v>
      </c>
      <c r="R97" s="30">
        <v>4988046</v>
      </c>
      <c r="S97" s="30" t="s">
        <v>63</v>
      </c>
      <c r="T97" t="s">
        <v>33</v>
      </c>
      <c r="U97" s="31" t="s">
        <v>33</v>
      </c>
      <c r="V97" t="s">
        <v>33</v>
      </c>
      <c r="Y97" t="e">
        <f>VLOOKUP(A97,[2]!PRGX[[#All],[Proveedor]],1,FALSE)</f>
        <v>#REF!</v>
      </c>
      <c r="Z97">
        <v>395053</v>
      </c>
    </row>
    <row r="98" spans="1:26" x14ac:dyDescent="0.25">
      <c r="A98" s="25">
        <v>339457</v>
      </c>
      <c r="B98" s="25" t="s">
        <v>143</v>
      </c>
      <c r="C98" s="26">
        <v>43820</v>
      </c>
      <c r="D98" s="27">
        <v>1930542240.875</v>
      </c>
      <c r="E98" s="27">
        <v>1750681531.7175</v>
      </c>
      <c r="F98" s="27">
        <v>179860709.1575</v>
      </c>
      <c r="G98" s="27">
        <f>VLOOKUP(A98,'[1]saldos al 26May26'!$C$2:$I$1010,7,FALSE)</f>
        <v>-51480206.600000001</v>
      </c>
      <c r="H98" s="27"/>
      <c r="I98" s="28" t="s">
        <v>27</v>
      </c>
      <c r="J98" s="29"/>
      <c r="K98" s="25" t="s">
        <v>29</v>
      </c>
      <c r="L98" s="25" t="s">
        <v>30</v>
      </c>
      <c r="M98" s="25" t="s">
        <v>50</v>
      </c>
      <c r="N98" s="25"/>
      <c r="O98" t="s">
        <v>70</v>
      </c>
      <c r="P98" s="30">
        <v>32259044.939999998</v>
      </c>
      <c r="Q98" s="30">
        <v>16938845.890000001</v>
      </c>
      <c r="R98" s="30"/>
      <c r="S98" s="30" t="s">
        <v>63</v>
      </c>
      <c r="T98" t="s">
        <v>33</v>
      </c>
      <c r="U98" s="31">
        <v>0</v>
      </c>
      <c r="V98" t="s">
        <v>42</v>
      </c>
      <c r="Y98" t="e">
        <f>VLOOKUP(A98,[2]!PRGX[[#All],[Proveedor]],1,FALSE)</f>
        <v>#REF!</v>
      </c>
      <c r="Z98">
        <v>339457</v>
      </c>
    </row>
    <row r="99" spans="1:26" x14ac:dyDescent="0.25">
      <c r="A99" s="25">
        <v>60863</v>
      </c>
      <c r="B99" s="25" t="s">
        <v>65</v>
      </c>
      <c r="C99" s="26">
        <v>78588</v>
      </c>
      <c r="D99" s="27">
        <v>1924664877.6902001</v>
      </c>
      <c r="E99" s="27">
        <v>1587750293.3694</v>
      </c>
      <c r="F99" s="27">
        <v>336914584.32080001</v>
      </c>
      <c r="G99" s="27">
        <f>VLOOKUP(A99,'[1]saldos al 26May26'!$C$2:$I$1010,7,FALSE)</f>
        <v>-58961470.460000001</v>
      </c>
      <c r="H99" s="27"/>
      <c r="I99" s="28" t="s">
        <v>27</v>
      </c>
      <c r="J99" s="29"/>
      <c r="K99" s="25" t="s">
        <v>29</v>
      </c>
      <c r="L99" s="25" t="s">
        <v>30</v>
      </c>
      <c r="M99" s="25" t="s">
        <v>50</v>
      </c>
      <c r="N99" s="25"/>
      <c r="O99" t="s">
        <v>36</v>
      </c>
      <c r="P99" s="32">
        <v>-258832.2200000002</v>
      </c>
      <c r="Q99" s="30">
        <v>4302952.34</v>
      </c>
      <c r="R99" s="30"/>
      <c r="S99" s="30" t="s">
        <v>33</v>
      </c>
      <c r="T99" t="s">
        <v>33</v>
      </c>
      <c r="U99" s="31" t="e">
        <v>#N/A</v>
      </c>
      <c r="V99" t="s">
        <v>34</v>
      </c>
      <c r="Y99" t="e">
        <f>VLOOKUP(A99,[2]!PRGX[[#All],[Proveedor]],1,FALSE)</f>
        <v>#REF!</v>
      </c>
      <c r="Z99">
        <v>60863</v>
      </c>
    </row>
    <row r="100" spans="1:26" x14ac:dyDescent="0.25">
      <c r="A100" s="25">
        <v>35436</v>
      </c>
      <c r="B100" s="25" t="s">
        <v>144</v>
      </c>
      <c r="C100" s="26">
        <v>430661</v>
      </c>
      <c r="D100" s="27">
        <v>1913766197.4223001</v>
      </c>
      <c r="E100" s="27">
        <v>1786861813.9549</v>
      </c>
      <c r="F100" s="27">
        <v>126904383.4674</v>
      </c>
      <c r="G100" s="27">
        <f>VLOOKUP(A100,'[1]saldos al 26May26'!$C$2:$I$1010,7,FALSE)</f>
        <v>-9757449.5299999993</v>
      </c>
      <c r="H100" s="27"/>
      <c r="I100" s="28"/>
      <c r="J100" s="29"/>
      <c r="K100" s="25" t="s">
        <v>40</v>
      </c>
      <c r="L100" s="25" t="s">
        <v>30</v>
      </c>
      <c r="M100" s="25" t="s">
        <v>59</v>
      </c>
      <c r="N100" s="25" t="s">
        <v>41</v>
      </c>
      <c r="O100" t="s">
        <v>41</v>
      </c>
      <c r="P100" s="32">
        <v>-562797.04</v>
      </c>
      <c r="Q100" s="30">
        <v>151356.78</v>
      </c>
      <c r="R100" s="30"/>
      <c r="S100" s="30" t="s">
        <v>33</v>
      </c>
      <c r="T100" t="s">
        <v>33</v>
      </c>
      <c r="U100" s="31" t="e">
        <v>#N/A</v>
      </c>
      <c r="V100" t="s">
        <v>34</v>
      </c>
      <c r="Y100" t="e">
        <f>VLOOKUP(A100,[2]!PRGX[[#All],[Proveedor]],1,FALSE)</f>
        <v>#REF!</v>
      </c>
    </row>
    <row r="101" spans="1:26" x14ac:dyDescent="0.25">
      <c r="A101" s="25">
        <v>392092</v>
      </c>
      <c r="B101" s="25" t="s">
        <v>145</v>
      </c>
      <c r="C101" s="26">
        <v>11900</v>
      </c>
      <c r="D101" s="27">
        <v>1907631298.3425</v>
      </c>
      <c r="E101" s="27">
        <v>1335707286.7624998</v>
      </c>
      <c r="F101" s="27">
        <v>571924011.58000004</v>
      </c>
      <c r="G101" s="27">
        <f>VLOOKUP(A101,'[1]saldos al 26May26'!$C$2:$I$1010,7,FALSE)</f>
        <v>-26856460.18</v>
      </c>
      <c r="H101" s="27"/>
      <c r="I101" s="28" t="s">
        <v>27</v>
      </c>
      <c r="J101" s="29"/>
      <c r="K101" s="25" t="s">
        <v>29</v>
      </c>
      <c r="L101" s="25" t="s">
        <v>30</v>
      </c>
      <c r="M101" s="25" t="s">
        <v>31</v>
      </c>
      <c r="N101" s="25"/>
      <c r="O101" t="s">
        <v>47</v>
      </c>
      <c r="P101" s="32">
        <v>-1627447.71</v>
      </c>
      <c r="Q101" s="30">
        <v>3304464.0300000003</v>
      </c>
      <c r="R101" s="30">
        <v>452968.76</v>
      </c>
      <c r="S101" s="30" t="s">
        <v>63</v>
      </c>
      <c r="T101" t="s">
        <v>33</v>
      </c>
      <c r="U101" s="31">
        <v>0</v>
      </c>
      <c r="V101" t="s">
        <v>42</v>
      </c>
      <c r="Y101" t="e">
        <f>VLOOKUP(A101,[2]!PRGX[[#All],[Proveedor]],1,FALSE)</f>
        <v>#REF!</v>
      </c>
      <c r="Z101">
        <v>392092</v>
      </c>
    </row>
    <row r="102" spans="1:26" x14ac:dyDescent="0.25">
      <c r="A102" s="25">
        <v>24282</v>
      </c>
      <c r="B102" s="25" t="s">
        <v>146</v>
      </c>
      <c r="C102" s="26">
        <v>32566</v>
      </c>
      <c r="D102" s="27">
        <v>1900883908.3599999</v>
      </c>
      <c r="E102" s="27">
        <v>1466242952.1999998</v>
      </c>
      <c r="F102" s="27">
        <v>434640956.16000003</v>
      </c>
      <c r="G102" s="27">
        <f>VLOOKUP(A102,'[1]saldos al 26May26'!$C$2:$I$1010,7,FALSE)</f>
        <v>-393798822.83999997</v>
      </c>
      <c r="H102" s="27"/>
      <c r="I102" s="28" t="s">
        <v>27</v>
      </c>
      <c r="J102" s="29"/>
      <c r="K102" s="25" t="s">
        <v>29</v>
      </c>
      <c r="L102" s="25" t="s">
        <v>30</v>
      </c>
      <c r="M102" s="25" t="s">
        <v>59</v>
      </c>
      <c r="N102" s="25"/>
      <c r="O102" t="s">
        <v>38</v>
      </c>
      <c r="P102" s="32">
        <v>-3380724.33</v>
      </c>
      <c r="Q102" s="30">
        <v>0</v>
      </c>
      <c r="R102" s="30">
        <v>16881455.100000001</v>
      </c>
      <c r="S102" s="30" t="s">
        <v>33</v>
      </c>
      <c r="T102" t="s">
        <v>33</v>
      </c>
      <c r="U102" s="31" t="e">
        <v>#N/A</v>
      </c>
      <c r="V102" t="s">
        <v>34</v>
      </c>
      <c r="Y102" t="e">
        <f>VLOOKUP(A102,[2]!PRGX[[#All],[Proveedor]],1,FALSE)</f>
        <v>#REF!</v>
      </c>
      <c r="Z102">
        <v>24282</v>
      </c>
    </row>
    <row r="103" spans="1:26" x14ac:dyDescent="0.25">
      <c r="A103" s="25">
        <v>304023</v>
      </c>
      <c r="B103" s="25" t="s">
        <v>147</v>
      </c>
      <c r="C103" s="26">
        <v>5348</v>
      </c>
      <c r="D103" s="27">
        <v>1897486393.4964001</v>
      </c>
      <c r="E103" s="27">
        <v>1582173871.2864001</v>
      </c>
      <c r="F103" s="27">
        <v>315312522.20999998</v>
      </c>
      <c r="G103" s="27">
        <f>VLOOKUP(A103,'[1]saldos al 26May26'!$C$2:$I$1010,7,FALSE)</f>
        <v>-23747908.640000001</v>
      </c>
      <c r="H103" s="27"/>
      <c r="I103" s="28" t="s">
        <v>27</v>
      </c>
      <c r="J103" s="29"/>
      <c r="K103" s="25" t="s">
        <v>29</v>
      </c>
      <c r="L103" s="25" t="s">
        <v>30</v>
      </c>
      <c r="M103" s="25" t="s">
        <v>31</v>
      </c>
      <c r="N103" s="25"/>
      <c r="O103" t="s">
        <v>36</v>
      </c>
      <c r="P103" s="30">
        <v>7686702.4300000006</v>
      </c>
      <c r="Q103" s="30">
        <v>8328274.6600000001</v>
      </c>
      <c r="R103" s="30"/>
      <c r="S103" s="30" t="s">
        <v>33</v>
      </c>
      <c r="T103" t="s">
        <v>33</v>
      </c>
      <c r="U103" s="31" t="e">
        <v>#N/A</v>
      </c>
      <c r="V103" t="s">
        <v>34</v>
      </c>
      <c r="Y103" t="e">
        <f>VLOOKUP(A103,[2]!PRGX[[#All],[Proveedor]],1,FALSE)</f>
        <v>#REF!</v>
      </c>
      <c r="Z103">
        <v>304023</v>
      </c>
    </row>
    <row r="104" spans="1:26" x14ac:dyDescent="0.25">
      <c r="A104" s="36">
        <v>213184</v>
      </c>
      <c r="B104" s="36" t="s">
        <v>148</v>
      </c>
      <c r="C104" s="36">
        <v>756</v>
      </c>
      <c r="D104" s="38">
        <v>1875267265.6900001</v>
      </c>
      <c r="E104" s="38">
        <v>1383933310.6700001</v>
      </c>
      <c r="F104" s="38">
        <v>491333955.01999998</v>
      </c>
      <c r="G104" s="38" t="e">
        <f>VLOOKUP(A104,'[1]saldos al 26May26'!$C$2:$I$1010,7,FALSE)</f>
        <v>#N/A</v>
      </c>
      <c r="H104" s="39" t="s">
        <v>54</v>
      </c>
      <c r="I104" s="40" t="s">
        <v>27</v>
      </c>
      <c r="J104" s="41"/>
      <c r="K104" s="36" t="s">
        <v>29</v>
      </c>
      <c r="L104" s="36" t="s">
        <v>30</v>
      </c>
      <c r="M104" s="36" t="s">
        <v>55</v>
      </c>
      <c r="N104" s="25"/>
      <c r="O104" s="42" t="s">
        <v>67</v>
      </c>
      <c r="P104" s="30">
        <v>0</v>
      </c>
      <c r="Q104" s="30">
        <v>262247</v>
      </c>
      <c r="R104" s="30"/>
      <c r="S104" s="30" t="s">
        <v>33</v>
      </c>
      <c r="T104" t="s">
        <v>33</v>
      </c>
      <c r="U104" s="31" t="e">
        <v>#N/A</v>
      </c>
      <c r="V104" t="s">
        <v>34</v>
      </c>
      <c r="Y104" t="e">
        <f>VLOOKUP(A104,[2]!PRGX[[#All],[Proveedor]],1,FALSE)</f>
        <v>#REF!</v>
      </c>
      <c r="Z104">
        <v>213184</v>
      </c>
    </row>
    <row r="105" spans="1:26" x14ac:dyDescent="0.25">
      <c r="A105" s="25">
        <v>99630</v>
      </c>
      <c r="B105" s="25" t="s">
        <v>149</v>
      </c>
      <c r="C105" s="26">
        <v>338077</v>
      </c>
      <c r="D105" s="27">
        <v>1875178627.085</v>
      </c>
      <c r="E105" s="27">
        <v>1750374453.1849999</v>
      </c>
      <c r="F105" s="27">
        <v>124804173.90000001</v>
      </c>
      <c r="G105" s="27">
        <f>VLOOKUP(A105,'[1]saldos al 26May26'!$C$2:$I$1010,7,FALSE)</f>
        <v>-4251401</v>
      </c>
      <c r="H105" s="27"/>
      <c r="I105" s="28" t="s">
        <v>27</v>
      </c>
      <c r="J105" s="29"/>
      <c r="K105" s="25" t="s">
        <v>29</v>
      </c>
      <c r="L105" s="25" t="s">
        <v>30</v>
      </c>
      <c r="M105" s="25" t="s">
        <v>59</v>
      </c>
      <c r="N105" s="25"/>
      <c r="O105" t="s">
        <v>47</v>
      </c>
      <c r="P105" s="30">
        <v>72414.319999999992</v>
      </c>
      <c r="Q105" s="30">
        <v>7409.17</v>
      </c>
      <c r="R105" s="30"/>
      <c r="S105" s="30" t="s">
        <v>33</v>
      </c>
      <c r="T105" t="s">
        <v>33</v>
      </c>
      <c r="U105" s="31" t="e">
        <v>#N/A</v>
      </c>
      <c r="V105" t="s">
        <v>34</v>
      </c>
      <c r="Y105" t="e">
        <f>VLOOKUP(A105,[2]!PRGX[[#All],[Proveedor]],1,FALSE)</f>
        <v>#REF!</v>
      </c>
      <c r="Z105">
        <v>99630</v>
      </c>
    </row>
    <row r="106" spans="1:26" x14ac:dyDescent="0.25">
      <c r="A106" s="25">
        <v>551</v>
      </c>
      <c r="B106" s="25" t="s">
        <v>150</v>
      </c>
      <c r="C106" s="26">
        <v>27635</v>
      </c>
      <c r="D106" s="27">
        <v>1858022278.543</v>
      </c>
      <c r="E106" s="27">
        <v>1855498840.3429999</v>
      </c>
      <c r="F106" s="27">
        <v>2523438.2000000002</v>
      </c>
      <c r="G106" s="27">
        <f>VLOOKUP(A106,'[1]saldos al 26May26'!$C$2:$I$1010,7,FALSE)</f>
        <v>-230823.27</v>
      </c>
      <c r="H106" s="27"/>
      <c r="I106" s="28"/>
      <c r="J106" s="29"/>
      <c r="K106" s="25" t="s">
        <v>29</v>
      </c>
      <c r="L106" s="25" t="s">
        <v>30</v>
      </c>
      <c r="M106" s="25" t="s">
        <v>55</v>
      </c>
      <c r="N106" s="25"/>
      <c r="O106" t="s">
        <v>38</v>
      </c>
      <c r="P106" s="30">
        <v>51884.65</v>
      </c>
      <c r="Q106" s="30">
        <v>487544.53</v>
      </c>
      <c r="R106" s="30"/>
      <c r="S106" s="30">
        <v>0</v>
      </c>
      <c r="T106" t="s">
        <v>33</v>
      </c>
      <c r="U106" s="31" t="e">
        <v>#N/A</v>
      </c>
      <c r="V106" t="s">
        <v>34</v>
      </c>
      <c r="Y106" t="e">
        <f>VLOOKUP(A106,[2]!PRGX[[#All],[Proveedor]],1,FALSE)</f>
        <v>#REF!</v>
      </c>
    </row>
    <row r="107" spans="1:26" x14ac:dyDescent="0.25">
      <c r="A107" s="25">
        <v>71324</v>
      </c>
      <c r="B107" s="25" t="s">
        <v>151</v>
      </c>
      <c r="C107" s="26">
        <v>68734</v>
      </c>
      <c r="D107" s="27">
        <v>1818992311.813</v>
      </c>
      <c r="E107" s="27">
        <v>1725440420.043</v>
      </c>
      <c r="F107" s="27">
        <v>93551891.769999996</v>
      </c>
      <c r="G107" s="27">
        <f>VLOOKUP(A107,'[1]saldos al 26May26'!$C$2:$I$1010,7,FALSE)</f>
        <v>-4676612.4000000004</v>
      </c>
      <c r="H107" s="27"/>
      <c r="I107" s="28"/>
      <c r="J107" s="29"/>
      <c r="K107" s="25" t="s">
        <v>29</v>
      </c>
      <c r="L107" s="25" t="s">
        <v>30</v>
      </c>
      <c r="M107" s="25" t="s">
        <v>59</v>
      </c>
      <c r="N107" s="25"/>
      <c r="O107" t="s">
        <v>70</v>
      </c>
      <c r="P107" s="30">
        <v>14599577.389999999</v>
      </c>
      <c r="Q107" s="30">
        <v>338614.82</v>
      </c>
      <c r="R107" s="30">
        <v>300000</v>
      </c>
      <c r="S107" s="30" t="s">
        <v>63</v>
      </c>
      <c r="T107" t="s">
        <v>33</v>
      </c>
      <c r="U107" s="31" t="s">
        <v>33</v>
      </c>
      <c r="V107" t="s">
        <v>33</v>
      </c>
      <c r="Y107" t="e">
        <f>VLOOKUP(A107,[2]!PRGX[[#All],[Proveedor]],1,FALSE)</f>
        <v>#REF!</v>
      </c>
    </row>
    <row r="108" spans="1:26" x14ac:dyDescent="0.25">
      <c r="A108" s="52">
        <v>25056</v>
      </c>
      <c r="B108" s="52" t="s">
        <v>152</v>
      </c>
      <c r="C108" s="53">
        <v>15794</v>
      </c>
      <c r="D108" s="54">
        <v>46349431.329999998</v>
      </c>
      <c r="E108" s="27">
        <v>13654337.659999996</v>
      </c>
      <c r="F108" s="27">
        <v>32695093.670000002</v>
      </c>
      <c r="G108" s="54">
        <f>VLOOKUP(A108,'[1]saldos al 26May26'!$C$2:$I$1010,7,FALSE)</f>
        <v>-3860673.83</v>
      </c>
      <c r="H108" s="54"/>
      <c r="I108" s="55"/>
      <c r="J108" s="56">
        <v>1151116.8245799071</v>
      </c>
      <c r="K108" s="52" t="s">
        <v>40</v>
      </c>
      <c r="L108" s="52" t="s">
        <v>30</v>
      </c>
      <c r="M108" s="52" t="s">
        <v>59</v>
      </c>
      <c r="N108" s="52" t="s">
        <v>56</v>
      </c>
      <c r="O108" s="57" t="s">
        <v>56</v>
      </c>
      <c r="P108" s="59">
        <v>-372383.44</v>
      </c>
      <c r="Q108" s="58">
        <v>0</v>
      </c>
      <c r="R108" s="30"/>
      <c r="S108" s="30" t="e">
        <v>#N/A</v>
      </c>
      <c r="T108" s="57" t="s">
        <v>34</v>
      </c>
      <c r="U108" s="31" t="e">
        <v>#N/A</v>
      </c>
      <c r="V108" s="57" t="s">
        <v>34</v>
      </c>
      <c r="W108" t="s">
        <v>153</v>
      </c>
      <c r="X108" t="s">
        <v>43</v>
      </c>
      <c r="Y108" t="e">
        <f>VLOOKUP(A108,[2]!PRGX[[#All],[Proveedor]],1,FALSE)</f>
        <v>#REF!</v>
      </c>
    </row>
    <row r="109" spans="1:26" x14ac:dyDescent="0.25">
      <c r="A109" s="25">
        <v>22777</v>
      </c>
      <c r="B109" s="25" t="s">
        <v>154</v>
      </c>
      <c r="C109" s="26">
        <v>907285</v>
      </c>
      <c r="D109" s="27">
        <v>1786288712.8001001</v>
      </c>
      <c r="E109" s="27">
        <v>219265335.88660002</v>
      </c>
      <c r="F109" s="27">
        <v>1567023376.9135001</v>
      </c>
      <c r="G109" s="27">
        <f>VLOOKUP(A109,'[1]saldos al 26May26'!$C$2:$I$1010,7,FALSE)</f>
        <v>-104632191.41</v>
      </c>
      <c r="H109" s="27"/>
      <c r="I109" s="28" t="s">
        <v>27</v>
      </c>
      <c r="J109" s="29"/>
      <c r="K109" s="25" t="s">
        <v>29</v>
      </c>
      <c r="L109" s="25" t="s">
        <v>30</v>
      </c>
      <c r="M109" s="25" t="s">
        <v>59</v>
      </c>
      <c r="N109" s="25"/>
      <c r="O109" t="s">
        <v>96</v>
      </c>
      <c r="P109" s="32">
        <v>-7488170.8700000001</v>
      </c>
      <c r="Q109" s="30">
        <v>0</v>
      </c>
      <c r="R109" s="30">
        <v>63238079.809999995</v>
      </c>
      <c r="S109" s="30" t="s">
        <v>33</v>
      </c>
      <c r="T109" s="57" t="s">
        <v>33</v>
      </c>
      <c r="U109" s="31" t="s">
        <v>33</v>
      </c>
      <c r="V109" t="s">
        <v>33</v>
      </c>
      <c r="Y109" t="e">
        <f>VLOOKUP(A109,[2]!PRGX[[#All],[Proveedor]],1,FALSE)</f>
        <v>#REF!</v>
      </c>
      <c r="Z109">
        <v>22777</v>
      </c>
    </row>
    <row r="110" spans="1:26" x14ac:dyDescent="0.25">
      <c r="A110" s="25">
        <v>310813</v>
      </c>
      <c r="B110" s="25" t="s">
        <v>155</v>
      </c>
      <c r="C110" s="26">
        <v>3096</v>
      </c>
      <c r="D110" s="27">
        <v>1738009853.25</v>
      </c>
      <c r="E110" s="27">
        <v>1439249156.5</v>
      </c>
      <c r="F110" s="27">
        <v>298760696.75</v>
      </c>
      <c r="G110" s="27">
        <f>VLOOKUP(A110,'[1]saldos al 26May26'!$C$2:$I$1010,7,FALSE)</f>
        <v>-10387008</v>
      </c>
      <c r="H110" s="27"/>
      <c r="I110" s="28" t="s">
        <v>27</v>
      </c>
      <c r="J110" s="29"/>
      <c r="K110" s="25" t="s">
        <v>29</v>
      </c>
      <c r="L110" s="25" t="s">
        <v>30</v>
      </c>
      <c r="M110" s="25" t="s">
        <v>50</v>
      </c>
      <c r="N110" s="25"/>
      <c r="O110" t="s">
        <v>87</v>
      </c>
      <c r="P110" s="32">
        <v>-6113963.5800000001</v>
      </c>
      <c r="Q110" s="30">
        <v>0</v>
      </c>
      <c r="R110" s="30"/>
      <c r="S110" s="30" t="s">
        <v>33</v>
      </c>
      <c r="T110" t="s">
        <v>33</v>
      </c>
      <c r="U110" s="31" t="e">
        <v>#N/A</v>
      </c>
      <c r="V110" t="s">
        <v>34</v>
      </c>
      <c r="Y110" t="e">
        <f>VLOOKUP(A110,[2]!PRGX[[#All],[Proveedor]],1,FALSE)</f>
        <v>#REF!</v>
      </c>
      <c r="Z110">
        <v>310813</v>
      </c>
    </row>
    <row r="111" spans="1:26" x14ac:dyDescent="0.25">
      <c r="A111" s="25">
        <v>29272</v>
      </c>
      <c r="B111" s="25" t="s">
        <v>156</v>
      </c>
      <c r="C111" s="26">
        <v>164392</v>
      </c>
      <c r="D111" s="27">
        <v>1723945517.0445001</v>
      </c>
      <c r="E111" s="27">
        <v>1408225928.4645002</v>
      </c>
      <c r="F111" s="27">
        <v>315719588.57999998</v>
      </c>
      <c r="G111" s="27">
        <f>VLOOKUP(A111,'[1]saldos al 26May26'!$C$2:$I$1010,7,FALSE)</f>
        <v>-71750345.409999996</v>
      </c>
      <c r="H111" s="27"/>
      <c r="I111" s="28" t="s">
        <v>27</v>
      </c>
      <c r="J111" s="29"/>
      <c r="K111" s="25" t="s">
        <v>29</v>
      </c>
      <c r="L111" s="25" t="s">
        <v>30</v>
      </c>
      <c r="M111" s="25" t="s">
        <v>31</v>
      </c>
      <c r="N111" s="25"/>
      <c r="O111" t="s">
        <v>51</v>
      </c>
      <c r="P111" s="32">
        <v>-16769.490000000049</v>
      </c>
      <c r="Q111" s="30">
        <v>1531238.8399999999</v>
      </c>
      <c r="R111" s="30">
        <v>187280.9</v>
      </c>
      <c r="S111" s="30" t="s">
        <v>63</v>
      </c>
      <c r="T111" t="s">
        <v>33</v>
      </c>
      <c r="U111" s="31">
        <v>0</v>
      </c>
      <c r="V111" t="s">
        <v>42</v>
      </c>
      <c r="Y111" t="e">
        <f>VLOOKUP(A111,[2]!PRGX[[#All],[Proveedor]],1,FALSE)</f>
        <v>#REF!</v>
      </c>
      <c r="Z111">
        <v>29272</v>
      </c>
    </row>
    <row r="112" spans="1:26" x14ac:dyDescent="0.25">
      <c r="A112" s="25">
        <v>99093</v>
      </c>
      <c r="B112" s="25" t="s">
        <v>157</v>
      </c>
      <c r="C112" s="26">
        <v>173661</v>
      </c>
      <c r="D112" s="27">
        <v>1715490424.8210001</v>
      </c>
      <c r="E112" s="27">
        <v>1658180931.9510002</v>
      </c>
      <c r="F112" s="27">
        <v>57309492.869999997</v>
      </c>
      <c r="G112" s="27">
        <f>VLOOKUP(A112,'[1]saldos al 26May26'!$C$2:$I$1010,7,FALSE)</f>
        <v>-3701345.21</v>
      </c>
      <c r="H112" s="27"/>
      <c r="I112" s="28"/>
      <c r="J112" s="29"/>
      <c r="K112" s="25" t="s">
        <v>29</v>
      </c>
      <c r="L112" s="25" t="s">
        <v>30</v>
      </c>
      <c r="M112" s="25" t="s">
        <v>59</v>
      </c>
      <c r="N112" s="25"/>
      <c r="O112" t="s">
        <v>41</v>
      </c>
      <c r="P112" s="32">
        <v>-204096.75999999989</v>
      </c>
      <c r="Q112" s="30">
        <v>1087467.03</v>
      </c>
      <c r="R112" s="30"/>
      <c r="S112" s="30" t="s">
        <v>33</v>
      </c>
      <c r="T112" t="s">
        <v>33</v>
      </c>
      <c r="U112" s="31" t="s">
        <v>33</v>
      </c>
      <c r="V112" t="s">
        <v>33</v>
      </c>
      <c r="Y112" t="e">
        <f>VLOOKUP(A112,[2]!PRGX[[#All],[Proveedor]],1,FALSE)</f>
        <v>#REF!</v>
      </c>
    </row>
    <row r="113" spans="1:26" x14ac:dyDescent="0.25">
      <c r="A113" s="25">
        <v>382119</v>
      </c>
      <c r="B113" s="25" t="s">
        <v>158</v>
      </c>
      <c r="C113" s="26">
        <v>91964</v>
      </c>
      <c r="D113" s="27">
        <v>1696820681.5999999</v>
      </c>
      <c r="E113" s="27">
        <v>1466739121.3399999</v>
      </c>
      <c r="F113" s="27">
        <v>230081560.25999999</v>
      </c>
      <c r="G113" s="27">
        <f>VLOOKUP(A113,'[1]saldos al 26May26'!$C$2:$I$1010,7,FALSE)</f>
        <v>-26974015.359999999</v>
      </c>
      <c r="H113" s="27"/>
      <c r="I113" s="28" t="s">
        <v>27</v>
      </c>
      <c r="J113" s="29"/>
      <c r="K113" s="25" t="s">
        <v>29</v>
      </c>
      <c r="L113" s="25" t="s">
        <v>30</v>
      </c>
      <c r="M113" s="25" t="s">
        <v>31</v>
      </c>
      <c r="N113" s="25"/>
      <c r="O113" t="s">
        <v>36</v>
      </c>
      <c r="P113" s="30">
        <v>1616350.4900000002</v>
      </c>
      <c r="Q113" s="30">
        <v>2671143.9500000002</v>
      </c>
      <c r="R113" s="30">
        <v>2259502.23</v>
      </c>
      <c r="S113" s="30" t="s">
        <v>63</v>
      </c>
      <c r="T113" t="s">
        <v>33</v>
      </c>
      <c r="U113" s="31" t="e">
        <v>#N/A</v>
      </c>
      <c r="V113" t="s">
        <v>34</v>
      </c>
      <c r="Y113" t="e">
        <f>VLOOKUP(A113,[2]!PRGX[[#All],[Proveedor]],1,FALSE)</f>
        <v>#REF!</v>
      </c>
      <c r="Z113">
        <v>382119</v>
      </c>
    </row>
    <row r="114" spans="1:26" x14ac:dyDescent="0.25">
      <c r="A114" s="25">
        <v>61713</v>
      </c>
      <c r="B114" s="25" t="s">
        <v>159</v>
      </c>
      <c r="C114" s="26">
        <v>113273</v>
      </c>
      <c r="D114" s="27">
        <v>1663504897.3199999</v>
      </c>
      <c r="E114" s="27">
        <v>1370403707.1499999</v>
      </c>
      <c r="F114" s="27">
        <v>293101190.17000002</v>
      </c>
      <c r="G114" s="27">
        <f>VLOOKUP(A114,'[1]saldos al 26May26'!$C$2:$I$1010,7,FALSE)</f>
        <v>-64446373.18</v>
      </c>
      <c r="H114" s="27"/>
      <c r="I114" s="28" t="s">
        <v>27</v>
      </c>
      <c r="J114" s="29"/>
      <c r="K114" s="25" t="s">
        <v>29</v>
      </c>
      <c r="L114" s="25" t="s">
        <v>30</v>
      </c>
      <c r="M114" s="25" t="s">
        <v>31</v>
      </c>
      <c r="N114" s="25"/>
      <c r="O114" t="s">
        <v>36</v>
      </c>
      <c r="P114" s="32">
        <v>-2928534.95</v>
      </c>
      <c r="Q114" s="30">
        <v>-291024.41000000003</v>
      </c>
      <c r="R114" s="30">
        <v>51069</v>
      </c>
      <c r="S114" s="30" t="s">
        <v>63</v>
      </c>
      <c r="T114" t="s">
        <v>33</v>
      </c>
      <c r="U114" s="31" t="s">
        <v>33</v>
      </c>
      <c r="V114" t="s">
        <v>33</v>
      </c>
      <c r="Y114" t="e">
        <f>VLOOKUP(A114,[2]!PRGX[[#All],[Proveedor]],1,FALSE)</f>
        <v>#REF!</v>
      </c>
      <c r="Z114">
        <v>61713</v>
      </c>
    </row>
    <row r="115" spans="1:26" x14ac:dyDescent="0.25">
      <c r="A115" s="25">
        <v>24232</v>
      </c>
      <c r="B115" s="25" t="s">
        <v>160</v>
      </c>
      <c r="C115" s="26">
        <v>363395</v>
      </c>
      <c r="D115" s="27">
        <v>1622760298.2149999</v>
      </c>
      <c r="E115" s="27">
        <v>1280240416.8699999</v>
      </c>
      <c r="F115" s="27">
        <v>342519881.34500003</v>
      </c>
      <c r="G115" s="27">
        <f>VLOOKUP(A115,'[1]saldos al 26May26'!$C$2:$I$1010,7,FALSE)</f>
        <v>-89238794.060000002</v>
      </c>
      <c r="H115" s="27"/>
      <c r="I115" s="28" t="s">
        <v>27</v>
      </c>
      <c r="J115" s="29"/>
      <c r="K115" s="25" t="s">
        <v>29</v>
      </c>
      <c r="L115" s="25" t="s">
        <v>30</v>
      </c>
      <c r="M115" s="25" t="s">
        <v>50</v>
      </c>
      <c r="N115" s="25"/>
      <c r="O115" t="s">
        <v>96</v>
      </c>
      <c r="P115" s="30">
        <v>4742740.96</v>
      </c>
      <c r="Q115" s="30">
        <v>15372220.6</v>
      </c>
      <c r="R115" s="30">
        <v>4757449.79</v>
      </c>
      <c r="S115" s="30">
        <v>0</v>
      </c>
      <c r="T115" t="s">
        <v>33</v>
      </c>
      <c r="U115" s="31">
        <v>0</v>
      </c>
      <c r="V115" t="s">
        <v>34</v>
      </c>
      <c r="Y115" t="e">
        <f>VLOOKUP(A115,[2]!PRGX[[#All],[Proveedor]],1,FALSE)</f>
        <v>#REF!</v>
      </c>
      <c r="Z115">
        <v>24232</v>
      </c>
    </row>
    <row r="116" spans="1:26" x14ac:dyDescent="0.25">
      <c r="A116" s="52">
        <v>23709</v>
      </c>
      <c r="B116" s="52" t="s">
        <v>161</v>
      </c>
      <c r="C116" s="53">
        <v>2503</v>
      </c>
      <c r="D116" s="54">
        <v>42377190.299999997</v>
      </c>
      <c r="E116" s="27">
        <v>25458901.979999997</v>
      </c>
      <c r="F116" s="27">
        <v>16918288.32</v>
      </c>
      <c r="G116" s="54">
        <f>VLOOKUP(A116,'[1]saldos al 26May26'!$C$2:$I$1010,7,FALSE)</f>
        <v>-2910551.23</v>
      </c>
      <c r="H116" s="54"/>
      <c r="I116" s="55"/>
      <c r="J116" s="56">
        <v>786253.39808960143</v>
      </c>
      <c r="K116" s="52" t="s">
        <v>40</v>
      </c>
      <c r="L116" s="52" t="s">
        <v>30</v>
      </c>
      <c r="M116" s="52" t="s">
        <v>50</v>
      </c>
      <c r="N116" s="52" t="s">
        <v>56</v>
      </c>
      <c r="O116" s="57" t="s">
        <v>56</v>
      </c>
      <c r="P116" s="59">
        <v>-189205.68</v>
      </c>
      <c r="Q116" s="58">
        <v>0</v>
      </c>
      <c r="R116" s="30"/>
      <c r="S116" s="30" t="e">
        <v>#N/A</v>
      </c>
      <c r="T116" s="57" t="s">
        <v>34</v>
      </c>
      <c r="U116" s="31" t="e">
        <v>#N/A</v>
      </c>
      <c r="V116" s="57" t="s">
        <v>34</v>
      </c>
      <c r="W116" t="s">
        <v>162</v>
      </c>
      <c r="X116" t="s">
        <v>43</v>
      </c>
      <c r="Y116" t="e">
        <f>VLOOKUP(A116,[2]!PRGX[[#All],[Proveedor]],1,FALSE)</f>
        <v>#REF!</v>
      </c>
    </row>
    <row r="117" spans="1:26" x14ac:dyDescent="0.25">
      <c r="A117" s="25">
        <v>314815</v>
      </c>
      <c r="B117" s="25" t="s">
        <v>163</v>
      </c>
      <c r="C117" s="26">
        <v>154414</v>
      </c>
      <c r="D117" s="27">
        <v>1567703794.27</v>
      </c>
      <c r="E117" s="27">
        <v>1402798800.8699999</v>
      </c>
      <c r="F117" s="27">
        <v>164904993.40000001</v>
      </c>
      <c r="G117" s="27">
        <f>VLOOKUP(A117,'[1]saldos al 26May26'!$C$2:$I$1010,7,FALSE)</f>
        <v>-5574086.9299999997</v>
      </c>
      <c r="H117" s="27"/>
      <c r="I117" s="28" t="s">
        <v>27</v>
      </c>
      <c r="J117" s="29"/>
      <c r="K117" s="25" t="s">
        <v>29</v>
      </c>
      <c r="L117" s="25" t="s">
        <v>30</v>
      </c>
      <c r="M117" s="25" t="s">
        <v>50</v>
      </c>
      <c r="N117" s="25"/>
      <c r="O117" t="s">
        <v>47</v>
      </c>
      <c r="P117" s="32">
        <v>-8495469.1899999995</v>
      </c>
      <c r="Q117" s="30">
        <v>205474.17</v>
      </c>
      <c r="R117" s="30">
        <v>103967.02</v>
      </c>
      <c r="S117" s="30" t="s">
        <v>63</v>
      </c>
      <c r="T117" t="s">
        <v>33</v>
      </c>
      <c r="U117" s="31">
        <v>0</v>
      </c>
      <c r="V117" t="s">
        <v>42</v>
      </c>
      <c r="Y117" t="e">
        <f>VLOOKUP(A117,[2]!PRGX[[#All],[Proveedor]],1,FALSE)</f>
        <v>#REF!</v>
      </c>
      <c r="Z117">
        <v>314815</v>
      </c>
    </row>
    <row r="118" spans="1:26" x14ac:dyDescent="0.25">
      <c r="A118" s="25">
        <v>73692</v>
      </c>
      <c r="B118" s="25" t="s">
        <v>164</v>
      </c>
      <c r="C118" s="26">
        <v>1540339</v>
      </c>
      <c r="D118" s="27">
        <v>1559021017.8178</v>
      </c>
      <c r="E118" s="27">
        <v>1438985800.4950001</v>
      </c>
      <c r="F118" s="27">
        <v>120035217.3228</v>
      </c>
      <c r="G118" s="27">
        <f>VLOOKUP(A118,'[1]saldos al 26May26'!$C$2:$I$1010,7,FALSE)</f>
        <v>-9386536.5500000007</v>
      </c>
      <c r="H118" s="27"/>
      <c r="I118" s="28" t="s">
        <v>27</v>
      </c>
      <c r="J118" s="29"/>
      <c r="K118" s="25" t="s">
        <v>40</v>
      </c>
      <c r="L118" s="25" t="s">
        <v>30</v>
      </c>
      <c r="M118" s="25" t="s">
        <v>31</v>
      </c>
      <c r="N118" s="25" t="s">
        <v>51</v>
      </c>
      <c r="O118" t="s">
        <v>51</v>
      </c>
      <c r="P118" s="30">
        <v>11198531.82</v>
      </c>
      <c r="Q118" s="30">
        <v>576798.4</v>
      </c>
      <c r="R118" s="30">
        <v>24000</v>
      </c>
      <c r="S118" s="30" t="e">
        <v>#N/A</v>
      </c>
      <c r="T118" t="s">
        <v>42</v>
      </c>
      <c r="U118" s="31" t="e">
        <v>#N/A</v>
      </c>
      <c r="V118" t="s">
        <v>34</v>
      </c>
      <c r="X118" t="s">
        <v>43</v>
      </c>
      <c r="Y118" t="e">
        <f>VLOOKUP(A118,[2]!PRGX[[#All],[Proveedor]],1,FALSE)</f>
        <v>#REF!</v>
      </c>
      <c r="Z118">
        <v>73692</v>
      </c>
    </row>
    <row r="119" spans="1:26" x14ac:dyDescent="0.25">
      <c r="A119" s="25">
        <v>309971</v>
      </c>
      <c r="B119" s="25" t="s">
        <v>165</v>
      </c>
      <c r="C119" s="26">
        <v>1759</v>
      </c>
      <c r="D119" s="27">
        <v>1548909006.645</v>
      </c>
      <c r="E119" s="27">
        <v>1319596159.425</v>
      </c>
      <c r="F119" s="27">
        <v>229312847.22</v>
      </c>
      <c r="G119" s="27">
        <f>VLOOKUP(A119,'[1]saldos al 26May26'!$C$2:$I$1010,7,FALSE)</f>
        <v>-38309779.600000001</v>
      </c>
      <c r="H119" s="27"/>
      <c r="I119" s="28" t="s">
        <v>27</v>
      </c>
      <c r="J119" s="29"/>
      <c r="K119" s="25" t="s">
        <v>29</v>
      </c>
      <c r="L119" s="25" t="s">
        <v>30</v>
      </c>
      <c r="M119" s="25" t="s">
        <v>31</v>
      </c>
      <c r="N119" s="25"/>
      <c r="O119" t="s">
        <v>32</v>
      </c>
      <c r="P119" s="32">
        <v>-235917.72</v>
      </c>
      <c r="Q119" s="30">
        <v>0</v>
      </c>
      <c r="R119" s="30"/>
      <c r="S119" s="30" t="s">
        <v>33</v>
      </c>
      <c r="T119" t="s">
        <v>33</v>
      </c>
      <c r="U119" s="31" t="e">
        <v>#N/A</v>
      </c>
      <c r="V119" t="s">
        <v>34</v>
      </c>
      <c r="Y119" t="e">
        <f>VLOOKUP(A119,[2]!PRGX[[#All],[Proveedor]],1,FALSE)</f>
        <v>#REF!</v>
      </c>
      <c r="Z119">
        <v>309971</v>
      </c>
    </row>
    <row r="120" spans="1:26" x14ac:dyDescent="0.25">
      <c r="A120" s="25">
        <v>81927</v>
      </c>
      <c r="B120" s="25" t="s">
        <v>166</v>
      </c>
      <c r="C120" s="26">
        <v>31449</v>
      </c>
      <c r="D120" s="27">
        <v>1535815368.188</v>
      </c>
      <c r="E120" s="27">
        <v>1489792264.2835</v>
      </c>
      <c r="F120" s="27">
        <v>46023103.9045</v>
      </c>
      <c r="G120" s="27">
        <f>VLOOKUP(A120,'[1]saldos al 26May26'!$C$2:$I$1010,7,FALSE)</f>
        <v>-8328496.71</v>
      </c>
      <c r="H120" s="27"/>
      <c r="I120" s="28"/>
      <c r="J120" s="29"/>
      <c r="K120" s="25" t="s">
        <v>29</v>
      </c>
      <c r="L120" s="25" t="s">
        <v>30</v>
      </c>
      <c r="M120" s="25" t="s">
        <v>59</v>
      </c>
      <c r="N120" s="25"/>
      <c r="O120" t="s">
        <v>51</v>
      </c>
      <c r="P120" s="32">
        <v>-825538.94</v>
      </c>
      <c r="Q120" s="30">
        <v>-450973.65</v>
      </c>
      <c r="R120" s="30"/>
      <c r="S120" s="30" t="s">
        <v>33</v>
      </c>
      <c r="T120" t="s">
        <v>33</v>
      </c>
      <c r="U120" s="31" t="e">
        <v>#N/A</v>
      </c>
      <c r="V120" t="s">
        <v>34</v>
      </c>
      <c r="Y120" t="e">
        <f>VLOOKUP(A120,[2]!PRGX[[#All],[Proveedor]],1,FALSE)</f>
        <v>#REF!</v>
      </c>
    </row>
    <row r="121" spans="1:26" x14ac:dyDescent="0.25">
      <c r="A121" s="25">
        <v>8991</v>
      </c>
      <c r="B121" s="25" t="s">
        <v>167</v>
      </c>
      <c r="C121" s="26">
        <v>38164</v>
      </c>
      <c r="D121" s="27">
        <v>1482005502.98</v>
      </c>
      <c r="E121" s="27">
        <v>1258366205.53</v>
      </c>
      <c r="F121" s="27">
        <v>223639297.44999999</v>
      </c>
      <c r="G121" s="27">
        <f>VLOOKUP(A121,'[1]saldos al 26May26'!$C$2:$I$1010,7,FALSE)</f>
        <v>-12473968.210000001</v>
      </c>
      <c r="H121" s="27"/>
      <c r="I121" s="28" t="s">
        <v>27</v>
      </c>
      <c r="J121" s="29"/>
      <c r="K121" s="25" t="s">
        <v>29</v>
      </c>
      <c r="L121" s="25" t="s">
        <v>30</v>
      </c>
      <c r="M121" s="25" t="s">
        <v>59</v>
      </c>
      <c r="N121" s="25"/>
      <c r="O121" t="s">
        <v>70</v>
      </c>
      <c r="P121" s="30">
        <v>294614406.67000002</v>
      </c>
      <c r="Q121" s="30">
        <v>360403.5</v>
      </c>
      <c r="R121" s="30">
        <v>300300</v>
      </c>
      <c r="S121" s="30">
        <v>0</v>
      </c>
      <c r="T121" t="s">
        <v>33</v>
      </c>
      <c r="U121" s="31" t="s">
        <v>33</v>
      </c>
      <c r="V121" t="s">
        <v>33</v>
      </c>
      <c r="Y121" t="e">
        <f>VLOOKUP(A121,[2]!PRGX[[#All],[Proveedor]],1,FALSE)</f>
        <v>#REF!</v>
      </c>
      <c r="Z121">
        <v>8991</v>
      </c>
    </row>
    <row r="122" spans="1:26" x14ac:dyDescent="0.25">
      <c r="A122" s="52">
        <v>314567</v>
      </c>
      <c r="B122" s="52" t="s">
        <v>168</v>
      </c>
      <c r="C122" s="53">
        <v>10750</v>
      </c>
      <c r="D122" s="54">
        <v>103056420</v>
      </c>
      <c r="E122" s="27">
        <v>86631918</v>
      </c>
      <c r="F122" s="27">
        <v>16424502</v>
      </c>
      <c r="G122" s="54">
        <f>VLOOKUP(A122,'[1]saldos al 26May26'!$C$2:$I$1010,7,FALSE)</f>
        <v>-7185564.7699999996</v>
      </c>
      <c r="H122" s="54"/>
      <c r="I122" s="55"/>
      <c r="J122" s="56">
        <v>685775.42326786299</v>
      </c>
      <c r="K122" s="52" t="s">
        <v>40</v>
      </c>
      <c r="L122" s="52" t="s">
        <v>30</v>
      </c>
      <c r="M122" s="52" t="s">
        <v>50</v>
      </c>
      <c r="N122" s="52" t="s">
        <v>56</v>
      </c>
      <c r="O122" s="57" t="s">
        <v>56</v>
      </c>
      <c r="P122" s="58">
        <v>868772.72</v>
      </c>
      <c r="Q122" s="58">
        <v>0</v>
      </c>
      <c r="R122" s="30">
        <v>260774.38</v>
      </c>
      <c r="S122" s="30" t="e">
        <v>#N/A</v>
      </c>
      <c r="T122" s="57" t="s">
        <v>34</v>
      </c>
      <c r="U122" s="31">
        <v>0</v>
      </c>
      <c r="V122" s="57" t="s">
        <v>42</v>
      </c>
      <c r="W122" t="s">
        <v>169</v>
      </c>
      <c r="X122" t="s">
        <v>43</v>
      </c>
      <c r="Y122" t="e">
        <f>VLOOKUP(A122,[2]!PRGX[[#All],[Proveedor]],1,FALSE)</f>
        <v>#REF!</v>
      </c>
    </row>
    <row r="123" spans="1:26" x14ac:dyDescent="0.25">
      <c r="A123" s="25">
        <v>377317</v>
      </c>
      <c r="B123" s="25" t="s">
        <v>170</v>
      </c>
      <c r="C123" s="26">
        <v>4196</v>
      </c>
      <c r="D123" s="27">
        <v>1441415166.6847999</v>
      </c>
      <c r="E123" s="27">
        <v>1070040427.9359999</v>
      </c>
      <c r="F123" s="27">
        <v>371374738.74879998</v>
      </c>
      <c r="G123" s="27">
        <f>VLOOKUP(A123,'[1]saldos al 26May26'!$C$2:$I$1010,7,FALSE)</f>
        <v>-38157028.979999997</v>
      </c>
      <c r="H123" s="27"/>
      <c r="I123" s="28" t="s">
        <v>27</v>
      </c>
      <c r="J123" s="29"/>
      <c r="K123" s="25" t="s">
        <v>29</v>
      </c>
      <c r="L123" s="25" t="s">
        <v>30</v>
      </c>
      <c r="M123" s="25" t="s">
        <v>31</v>
      </c>
      <c r="N123" s="25"/>
      <c r="O123" t="s">
        <v>51</v>
      </c>
      <c r="P123" s="32">
        <v>-22348046.309999999</v>
      </c>
      <c r="Q123" s="30">
        <v>73315</v>
      </c>
      <c r="R123" s="30"/>
      <c r="S123" s="30" t="s">
        <v>33</v>
      </c>
      <c r="T123" t="s">
        <v>33</v>
      </c>
      <c r="U123" s="31" t="e">
        <v>#N/A</v>
      </c>
      <c r="V123" t="s">
        <v>34</v>
      </c>
      <c r="Y123" t="e">
        <f>VLOOKUP(A123,[2]!PRGX[[#All],[Proveedor]],1,FALSE)</f>
        <v>#REF!</v>
      </c>
      <c r="Z123">
        <v>377317</v>
      </c>
    </row>
    <row r="124" spans="1:26" x14ac:dyDescent="0.25">
      <c r="A124" s="25">
        <v>611</v>
      </c>
      <c r="B124" s="25" t="s">
        <v>171</v>
      </c>
      <c r="C124" s="26">
        <v>1263271</v>
      </c>
      <c r="D124" s="27">
        <v>1429839043.8085999</v>
      </c>
      <c r="E124" s="27">
        <v>1088413009.3483</v>
      </c>
      <c r="F124" s="27">
        <v>341426034.46030003</v>
      </c>
      <c r="G124" s="27">
        <f>VLOOKUP(A124,'[1]saldos al 26May26'!$C$2:$I$1010,7,FALSE)</f>
        <v>-34106096.5</v>
      </c>
      <c r="H124" s="27"/>
      <c r="I124" s="28" t="s">
        <v>27</v>
      </c>
      <c r="J124" s="29"/>
      <c r="K124" s="25" t="s">
        <v>29</v>
      </c>
      <c r="L124" s="25" t="s">
        <v>30</v>
      </c>
      <c r="M124" s="25" t="s">
        <v>31</v>
      </c>
      <c r="N124" s="25"/>
      <c r="O124" t="s">
        <v>32</v>
      </c>
      <c r="P124" s="30">
        <v>1235777.6099999999</v>
      </c>
      <c r="Q124" s="30">
        <v>162065.69</v>
      </c>
      <c r="R124" s="30">
        <v>2158158.96</v>
      </c>
      <c r="S124" s="30" t="s">
        <v>33</v>
      </c>
      <c r="T124" t="s">
        <v>33</v>
      </c>
      <c r="U124" s="31" t="e">
        <v>#N/A</v>
      </c>
      <c r="V124" t="s">
        <v>34</v>
      </c>
      <c r="Y124" t="e">
        <f>VLOOKUP(A124,[2]!PRGX[[#All],[Proveedor]],1,FALSE)</f>
        <v>#REF!</v>
      </c>
      <c r="Z124">
        <v>611</v>
      </c>
    </row>
    <row r="125" spans="1:26" x14ac:dyDescent="0.25">
      <c r="A125" s="25">
        <v>326629</v>
      </c>
      <c r="B125" s="25" t="s">
        <v>172</v>
      </c>
      <c r="C125" s="26">
        <v>78147</v>
      </c>
      <c r="D125" s="27">
        <v>1427803139.2818999</v>
      </c>
      <c r="E125" s="27">
        <v>1220816886.4419</v>
      </c>
      <c r="F125" s="27">
        <v>206986252.84</v>
      </c>
      <c r="G125" s="27">
        <f>VLOOKUP(A125,'[1]saldos al 26May26'!$C$2:$I$1010,7,FALSE)</f>
        <v>-115800383.42</v>
      </c>
      <c r="H125" s="27"/>
      <c r="I125" s="28" t="s">
        <v>27</v>
      </c>
      <c r="J125" s="29"/>
      <c r="K125" s="25" t="s">
        <v>29</v>
      </c>
      <c r="L125" s="25" t="s">
        <v>30</v>
      </c>
      <c r="M125" s="25" t="s">
        <v>50</v>
      </c>
      <c r="N125" s="25"/>
      <c r="O125" t="s">
        <v>38</v>
      </c>
      <c r="P125" s="30">
        <v>2048575.29</v>
      </c>
      <c r="Q125" s="30">
        <v>0</v>
      </c>
      <c r="R125" s="30">
        <v>5416583.0499999998</v>
      </c>
      <c r="S125" s="30" t="s">
        <v>33</v>
      </c>
      <c r="T125" t="s">
        <v>33</v>
      </c>
      <c r="U125" s="31" t="e">
        <v>#N/A</v>
      </c>
      <c r="V125" t="s">
        <v>34</v>
      </c>
      <c r="Y125" t="e">
        <f>VLOOKUP(A125,[2]!PRGX[[#All],[Proveedor]],1,FALSE)</f>
        <v>#REF!</v>
      </c>
      <c r="Z125">
        <v>326629</v>
      </c>
    </row>
    <row r="126" spans="1:26" x14ac:dyDescent="0.25">
      <c r="A126" s="25">
        <v>394213</v>
      </c>
      <c r="B126" s="25" t="s">
        <v>173</v>
      </c>
      <c r="C126" s="26">
        <v>15928</v>
      </c>
      <c r="D126" s="27">
        <v>1413652341.346</v>
      </c>
      <c r="E126" s="27">
        <v>1172612656.0780001</v>
      </c>
      <c r="F126" s="27">
        <v>241039685.26800001</v>
      </c>
      <c r="G126" s="27">
        <f>VLOOKUP(A126,'[1]saldos al 26May26'!$C$2:$I$1010,7,FALSE)</f>
        <v>-42425304.909999996</v>
      </c>
      <c r="H126" s="27"/>
      <c r="I126" s="28" t="s">
        <v>27</v>
      </c>
      <c r="J126" s="29"/>
      <c r="K126" s="25" t="s">
        <v>29</v>
      </c>
      <c r="L126" s="25" t="s">
        <v>30</v>
      </c>
      <c r="M126" s="25" t="s">
        <v>31</v>
      </c>
      <c r="N126" s="25"/>
      <c r="O126" t="s">
        <v>32</v>
      </c>
      <c r="P126" s="32">
        <v>-8179265.879999999</v>
      </c>
      <c r="Q126" s="30">
        <v>3826031.77</v>
      </c>
      <c r="R126" s="30"/>
      <c r="S126" s="30" t="s">
        <v>33</v>
      </c>
      <c r="T126" t="s">
        <v>33</v>
      </c>
      <c r="U126" s="31" t="e">
        <v>#N/A</v>
      </c>
      <c r="V126" t="s">
        <v>34</v>
      </c>
      <c r="Y126" t="e">
        <f>VLOOKUP(A126,[2]!PRGX[[#All],[Proveedor]],1,FALSE)</f>
        <v>#REF!</v>
      </c>
      <c r="Z126">
        <v>394213</v>
      </c>
    </row>
    <row r="127" spans="1:26" x14ac:dyDescent="0.25">
      <c r="A127" s="25">
        <v>56150</v>
      </c>
      <c r="B127" s="25" t="s">
        <v>174</v>
      </c>
      <c r="C127" s="26">
        <v>224186</v>
      </c>
      <c r="D127" s="27">
        <v>1411360881.1663001</v>
      </c>
      <c r="E127" s="27">
        <v>1191324915.7163</v>
      </c>
      <c r="F127" s="27">
        <v>220035965.44999999</v>
      </c>
      <c r="G127" s="27">
        <f>VLOOKUP(A127,'[1]saldos al 26May26'!$C$2:$I$1010,7,FALSE)</f>
        <v>-65587642.659999996</v>
      </c>
      <c r="H127" s="27"/>
      <c r="I127" s="28" t="s">
        <v>27</v>
      </c>
      <c r="J127" s="29"/>
      <c r="K127" s="25" t="s">
        <v>29</v>
      </c>
      <c r="L127" s="25" t="s">
        <v>30</v>
      </c>
      <c r="M127" s="25" t="s">
        <v>31</v>
      </c>
      <c r="N127" s="25"/>
      <c r="O127" t="s">
        <v>47</v>
      </c>
      <c r="P127" s="32">
        <v>-1998676.25</v>
      </c>
      <c r="Q127" s="30">
        <v>-373.23</v>
      </c>
      <c r="R127" s="30">
        <v>1552452.35</v>
      </c>
      <c r="S127" s="30" t="s">
        <v>63</v>
      </c>
      <c r="T127" t="s">
        <v>33</v>
      </c>
      <c r="U127" s="31">
        <v>0</v>
      </c>
      <c r="V127" t="s">
        <v>42</v>
      </c>
      <c r="Y127" t="e">
        <f>VLOOKUP(A127,[2]!PRGX[[#All],[Proveedor]],1,FALSE)</f>
        <v>#REF!</v>
      </c>
      <c r="Z127">
        <v>56150</v>
      </c>
    </row>
    <row r="128" spans="1:26" s="42" customFormat="1" x14ac:dyDescent="0.25">
      <c r="A128" s="25">
        <v>36145</v>
      </c>
      <c r="B128" s="25" t="s">
        <v>175</v>
      </c>
      <c r="C128" s="26">
        <v>133655</v>
      </c>
      <c r="D128" s="27">
        <v>1400928854.71</v>
      </c>
      <c r="E128" s="27">
        <v>1145215109.9100001</v>
      </c>
      <c r="F128" s="27">
        <v>255713744.80000001</v>
      </c>
      <c r="G128" s="27">
        <f>VLOOKUP(A128,'[1]saldos al 26May26'!$C$2:$I$1010,7,FALSE)</f>
        <v>-93857782.730000004</v>
      </c>
      <c r="H128" s="27"/>
      <c r="I128" s="28" t="s">
        <v>27</v>
      </c>
      <c r="J128" s="29"/>
      <c r="K128" s="25" t="s">
        <v>29</v>
      </c>
      <c r="L128" s="25" t="s">
        <v>30</v>
      </c>
      <c r="M128" s="25" t="s">
        <v>31</v>
      </c>
      <c r="N128" s="25"/>
      <c r="O128" t="s">
        <v>51</v>
      </c>
      <c r="P128" s="32">
        <v>-352119.48999999993</v>
      </c>
      <c r="Q128" s="30">
        <v>1723339.8</v>
      </c>
      <c r="R128" s="30">
        <v>652523.90999999992</v>
      </c>
      <c r="S128" s="30" t="s">
        <v>33</v>
      </c>
      <c r="T128" t="s">
        <v>33</v>
      </c>
      <c r="U128" s="31" t="e">
        <v>#N/A</v>
      </c>
      <c r="V128" t="s">
        <v>34</v>
      </c>
      <c r="W128"/>
      <c r="Y128" t="e">
        <f>VLOOKUP(A128,[2]!PRGX[[#All],[Proveedor]],1,FALSE)</f>
        <v>#REF!</v>
      </c>
      <c r="Z128">
        <v>36145</v>
      </c>
    </row>
    <row r="129" spans="1:26" x14ac:dyDescent="0.25">
      <c r="A129" s="25">
        <v>80242</v>
      </c>
      <c r="B129" s="25" t="s">
        <v>78</v>
      </c>
      <c r="C129" s="26">
        <v>4090563</v>
      </c>
      <c r="D129" s="27">
        <v>1392258151.5388999</v>
      </c>
      <c r="E129" s="27">
        <v>1176544171.6961</v>
      </c>
      <c r="F129" s="27">
        <v>215713979.84279999</v>
      </c>
      <c r="G129" s="27">
        <f>VLOOKUP(A129,'[1]saldos al 26May26'!$C$2:$I$1010,7,FALSE)</f>
        <v>-17125155.050000001</v>
      </c>
      <c r="H129" s="27"/>
      <c r="I129" s="28" t="s">
        <v>27</v>
      </c>
      <c r="J129" s="29"/>
      <c r="K129" s="25" t="s">
        <v>29</v>
      </c>
      <c r="L129" s="25" t="s">
        <v>30</v>
      </c>
      <c r="M129" s="25" t="s">
        <v>31</v>
      </c>
      <c r="N129" s="25"/>
      <c r="O129" t="s">
        <v>70</v>
      </c>
      <c r="P129" s="30">
        <v>50553980.780000001</v>
      </c>
      <c r="Q129" s="30">
        <v>-8434580.4000000004</v>
      </c>
      <c r="R129" s="30"/>
      <c r="S129" s="30" t="s">
        <v>33</v>
      </c>
      <c r="T129" t="s">
        <v>33</v>
      </c>
      <c r="U129" s="31" t="e">
        <v>#N/A</v>
      </c>
      <c r="V129" t="s">
        <v>34</v>
      </c>
      <c r="Y129" t="e">
        <f>VLOOKUP(A129,[2]!PRGX[[#All],[Proveedor]],1,FALSE)</f>
        <v>#REF!</v>
      </c>
      <c r="Z129">
        <v>80242</v>
      </c>
    </row>
    <row r="130" spans="1:26" x14ac:dyDescent="0.25">
      <c r="A130" s="25">
        <v>68783</v>
      </c>
      <c r="B130" s="25" t="s">
        <v>176</v>
      </c>
      <c r="C130" s="26">
        <v>12954</v>
      </c>
      <c r="D130" s="27">
        <v>1391396774.3216</v>
      </c>
      <c r="E130" s="27">
        <v>1120602107.5906</v>
      </c>
      <c r="F130" s="27">
        <v>270794666.73100001</v>
      </c>
      <c r="G130" s="27">
        <f>VLOOKUP(A130,'[1]saldos al 26May26'!$C$2:$I$1010,7,FALSE)</f>
        <v>-20806577.079999998</v>
      </c>
      <c r="H130" s="27"/>
      <c r="I130" s="28" t="s">
        <v>27</v>
      </c>
      <c r="J130" s="29"/>
      <c r="K130" s="25" t="s">
        <v>29</v>
      </c>
      <c r="L130" s="25" t="s">
        <v>30</v>
      </c>
      <c r="M130" s="25" t="s">
        <v>59</v>
      </c>
      <c r="N130" s="25"/>
      <c r="O130" t="s">
        <v>70</v>
      </c>
      <c r="P130" s="32">
        <v>-1271728.5299999998</v>
      </c>
      <c r="Q130" s="30">
        <v>1107431.83</v>
      </c>
      <c r="R130" s="30"/>
      <c r="S130" s="30" t="s">
        <v>33</v>
      </c>
      <c r="T130" t="s">
        <v>33</v>
      </c>
      <c r="U130" s="31" t="s">
        <v>33</v>
      </c>
      <c r="V130" t="s">
        <v>33</v>
      </c>
      <c r="Y130" t="e">
        <f>VLOOKUP(A130,[2]!PRGX[[#All],[Proveedor]],1,FALSE)</f>
        <v>#REF!</v>
      </c>
      <c r="Z130">
        <v>68783</v>
      </c>
    </row>
    <row r="131" spans="1:26" x14ac:dyDescent="0.25">
      <c r="A131" s="36">
        <v>4463</v>
      </c>
      <c r="B131" s="36" t="s">
        <v>177</v>
      </c>
      <c r="C131" s="36">
        <v>16938</v>
      </c>
      <c r="D131" s="38">
        <v>1379860636.0790999</v>
      </c>
      <c r="E131" s="38">
        <v>1165150373.4440999</v>
      </c>
      <c r="F131" s="38">
        <v>214710262.63499999</v>
      </c>
      <c r="G131" s="38" t="e">
        <f>VLOOKUP(A131,'[1]saldos al 26May26'!$C$2:$I$1010,7,FALSE)</f>
        <v>#N/A</v>
      </c>
      <c r="H131" s="39" t="s">
        <v>54</v>
      </c>
      <c r="I131" s="40" t="s">
        <v>27</v>
      </c>
      <c r="J131" s="41"/>
      <c r="K131" s="36" t="s">
        <v>29</v>
      </c>
      <c r="L131" s="36" t="s">
        <v>30</v>
      </c>
      <c r="M131" s="36" t="s">
        <v>55</v>
      </c>
      <c r="N131" s="25"/>
      <c r="O131" s="42" t="s">
        <v>70</v>
      </c>
      <c r="P131" s="32">
        <v>-2268076.4</v>
      </c>
      <c r="Q131" s="30">
        <v>159161986.25</v>
      </c>
      <c r="R131" s="30"/>
      <c r="S131" s="30" t="s">
        <v>33</v>
      </c>
      <c r="T131" t="s">
        <v>33</v>
      </c>
      <c r="U131" s="31" t="e">
        <v>#N/A</v>
      </c>
      <c r="V131" t="s">
        <v>34</v>
      </c>
      <c r="Y131" t="e">
        <f>VLOOKUP(A131,[2]!PRGX[[#All],[Proveedor]],1,FALSE)</f>
        <v>#REF!</v>
      </c>
      <c r="Z131">
        <v>4463</v>
      </c>
    </row>
    <row r="132" spans="1:26" x14ac:dyDescent="0.25">
      <c r="A132" s="25">
        <v>303693</v>
      </c>
      <c r="B132" s="25" t="s">
        <v>178</v>
      </c>
      <c r="C132" s="26">
        <v>2330</v>
      </c>
      <c r="D132" s="27">
        <v>1373747213.743</v>
      </c>
      <c r="E132" s="27">
        <v>1057192777.807</v>
      </c>
      <c r="F132" s="27">
        <v>316554435.93599999</v>
      </c>
      <c r="G132" s="27">
        <f>VLOOKUP(A132,'[1]saldos al 26May26'!$C$2:$I$1010,7,FALSE)</f>
        <v>-36293942.039999999</v>
      </c>
      <c r="H132" s="27"/>
      <c r="I132" s="28" t="s">
        <v>27</v>
      </c>
      <c r="J132" s="29"/>
      <c r="K132" s="25" t="s">
        <v>29</v>
      </c>
      <c r="L132" s="25" t="s">
        <v>30</v>
      </c>
      <c r="M132" s="25" t="s">
        <v>31</v>
      </c>
      <c r="N132" s="25" t="s">
        <v>51</v>
      </c>
      <c r="O132" t="s">
        <v>51</v>
      </c>
      <c r="P132" s="32">
        <v>-43759202.850000001</v>
      </c>
      <c r="Q132" s="30">
        <v>7746280.2300000004</v>
      </c>
      <c r="R132" s="30"/>
      <c r="S132" s="30" t="s">
        <v>33</v>
      </c>
      <c r="T132" t="s">
        <v>33</v>
      </c>
      <c r="U132" s="31" t="e">
        <v>#N/A</v>
      </c>
      <c r="V132" t="s">
        <v>34</v>
      </c>
      <c r="Y132" t="e">
        <f>VLOOKUP(A132,[2]!PRGX[[#All],[Proveedor]],1,FALSE)</f>
        <v>#REF!</v>
      </c>
      <c r="Z132">
        <v>303693</v>
      </c>
    </row>
    <row r="133" spans="1:26" x14ac:dyDescent="0.25">
      <c r="A133" s="25">
        <v>55814</v>
      </c>
      <c r="B133" s="25" t="s">
        <v>179</v>
      </c>
      <c r="C133" s="26">
        <v>34207</v>
      </c>
      <c r="D133" s="27">
        <v>1373630588.0072999</v>
      </c>
      <c r="E133" s="27">
        <v>979956734.60979986</v>
      </c>
      <c r="F133" s="27">
        <v>393673853.39749998</v>
      </c>
      <c r="G133" s="27">
        <f>VLOOKUP(A133,'[1]saldos al 26May26'!$C$2:$I$1010,7,FALSE)</f>
        <v>-66976991.710000001</v>
      </c>
      <c r="H133" s="27"/>
      <c r="I133" s="28" t="s">
        <v>27</v>
      </c>
      <c r="J133" s="29"/>
      <c r="K133" s="25" t="s">
        <v>29</v>
      </c>
      <c r="L133" s="25" t="s">
        <v>30</v>
      </c>
      <c r="M133" s="25" t="s">
        <v>31</v>
      </c>
      <c r="N133" s="25"/>
      <c r="O133" t="s">
        <v>87</v>
      </c>
      <c r="P133" s="32">
        <v>-1811235.2200000002</v>
      </c>
      <c r="Q133" s="30">
        <v>690353.14</v>
      </c>
      <c r="R133" s="30">
        <v>17400</v>
      </c>
      <c r="S133" s="30" t="s">
        <v>63</v>
      </c>
      <c r="T133" t="s">
        <v>33</v>
      </c>
      <c r="U133" s="31">
        <v>0</v>
      </c>
      <c r="V133" t="s">
        <v>42</v>
      </c>
      <c r="Y133" t="e">
        <f>VLOOKUP(A133,[2]!PRGX[[#All],[Proveedor]],1,FALSE)</f>
        <v>#REF!</v>
      </c>
      <c r="Z133">
        <v>55814</v>
      </c>
    </row>
    <row r="134" spans="1:26" x14ac:dyDescent="0.25">
      <c r="A134" s="25">
        <v>44883</v>
      </c>
      <c r="B134" s="25" t="s">
        <v>180</v>
      </c>
      <c r="C134" s="26">
        <v>31275</v>
      </c>
      <c r="D134" s="27">
        <v>1329584038.7</v>
      </c>
      <c r="E134" s="27">
        <v>1178525564.3500001</v>
      </c>
      <c r="F134" s="27">
        <v>151058474.34999999</v>
      </c>
      <c r="G134" s="27">
        <f>VLOOKUP(A134,'[1]saldos al 26May26'!$C$2:$I$1010,7,FALSE)</f>
        <v>-75355303.370000005</v>
      </c>
      <c r="H134" s="27"/>
      <c r="I134" s="28" t="s">
        <v>27</v>
      </c>
      <c r="J134" s="29"/>
      <c r="K134" s="25" t="s">
        <v>29</v>
      </c>
      <c r="L134" s="25" t="s">
        <v>30</v>
      </c>
      <c r="M134" s="25" t="s">
        <v>50</v>
      </c>
      <c r="N134" s="25"/>
      <c r="O134" t="s">
        <v>38</v>
      </c>
      <c r="P134" s="30">
        <v>951053.7</v>
      </c>
      <c r="Q134" s="30">
        <v>0</v>
      </c>
      <c r="R134" s="30">
        <v>23766465.559999999</v>
      </c>
      <c r="S134" s="30" t="s">
        <v>33</v>
      </c>
      <c r="T134" t="s">
        <v>33</v>
      </c>
      <c r="U134" s="31" t="e">
        <v>#N/A</v>
      </c>
      <c r="V134" t="s">
        <v>34</v>
      </c>
      <c r="Y134" t="e">
        <f>VLOOKUP(A134,[2]!PRGX[[#All],[Proveedor]],1,FALSE)</f>
        <v>#REF!</v>
      </c>
      <c r="Z134">
        <v>44883</v>
      </c>
    </row>
    <row r="135" spans="1:26" x14ac:dyDescent="0.25">
      <c r="A135" s="25">
        <v>82511</v>
      </c>
      <c r="B135" s="25" t="s">
        <v>97</v>
      </c>
      <c r="C135" s="26">
        <v>226897</v>
      </c>
      <c r="D135" s="27">
        <v>1325373576.0486</v>
      </c>
      <c r="E135" s="27">
        <v>1114390153.0785999</v>
      </c>
      <c r="F135" s="27">
        <v>210983422.97</v>
      </c>
      <c r="G135" s="27">
        <f>VLOOKUP(A135,'[1]saldos al 26May26'!$C$2:$I$1010,7,FALSE)</f>
        <v>-18169294.440000001</v>
      </c>
      <c r="H135" s="27"/>
      <c r="I135" s="28" t="s">
        <v>27</v>
      </c>
      <c r="J135" s="29"/>
      <c r="K135" s="25" t="s">
        <v>29</v>
      </c>
      <c r="L135" s="25" t="s">
        <v>30</v>
      </c>
      <c r="M135" s="25" t="s">
        <v>59</v>
      </c>
      <c r="N135" s="25"/>
      <c r="O135" t="s">
        <v>36</v>
      </c>
      <c r="P135" s="30">
        <v>483220.97</v>
      </c>
      <c r="Q135" s="30">
        <v>4021501.3200000003</v>
      </c>
      <c r="R135" s="30">
        <v>6119908.0299999993</v>
      </c>
      <c r="S135" s="30" t="s">
        <v>33</v>
      </c>
      <c r="T135" t="s">
        <v>33</v>
      </c>
      <c r="U135" s="31">
        <v>0</v>
      </c>
      <c r="V135" t="s">
        <v>42</v>
      </c>
      <c r="Y135" t="e">
        <f>VLOOKUP(A135,[2]!PRGX[[#All],[Proveedor]],1,FALSE)</f>
        <v>#REF!</v>
      </c>
      <c r="Z135">
        <v>82511</v>
      </c>
    </row>
    <row r="136" spans="1:26" x14ac:dyDescent="0.25">
      <c r="A136" s="25">
        <v>67504</v>
      </c>
      <c r="B136" s="25" t="s">
        <v>181</v>
      </c>
      <c r="C136" s="26">
        <v>477862</v>
      </c>
      <c r="D136" s="27">
        <v>1321523801.2207</v>
      </c>
      <c r="E136" s="27">
        <v>1181728895.5956001</v>
      </c>
      <c r="F136" s="27">
        <v>139794905.62509999</v>
      </c>
      <c r="G136" s="27">
        <f>VLOOKUP(A136,'[1]saldos al 26May26'!$C$2:$I$1010,7,FALSE)</f>
        <v>-6628593.79</v>
      </c>
      <c r="H136" s="27"/>
      <c r="I136" s="28"/>
      <c r="J136" s="29"/>
      <c r="K136" s="25" t="s">
        <v>29</v>
      </c>
      <c r="L136" s="25" t="s">
        <v>30</v>
      </c>
      <c r="M136" s="25" t="s">
        <v>59</v>
      </c>
      <c r="N136" s="25"/>
      <c r="O136" t="s">
        <v>47</v>
      </c>
      <c r="P136" s="30">
        <v>73513.51999999999</v>
      </c>
      <c r="Q136" s="30">
        <v>4729554.8499999996</v>
      </c>
      <c r="R136" s="30"/>
      <c r="S136" s="30" t="s">
        <v>63</v>
      </c>
      <c r="T136" t="s">
        <v>33</v>
      </c>
      <c r="U136" s="31" t="s">
        <v>33</v>
      </c>
      <c r="V136" t="s">
        <v>33</v>
      </c>
      <c r="Y136" t="e">
        <f>VLOOKUP(A136,[2]!PRGX[[#All],[Proveedor]],1,FALSE)</f>
        <v>#REF!</v>
      </c>
    </row>
    <row r="137" spans="1:26" x14ac:dyDescent="0.25">
      <c r="A137" s="25">
        <v>22066</v>
      </c>
      <c r="B137" s="25" t="s">
        <v>182</v>
      </c>
      <c r="C137" s="26">
        <v>66140</v>
      </c>
      <c r="D137" s="27">
        <v>1308490825.7467999</v>
      </c>
      <c r="E137" s="27">
        <v>1067930569.2867999</v>
      </c>
      <c r="F137" s="27">
        <v>240560256.46000001</v>
      </c>
      <c r="G137" s="27">
        <f>VLOOKUP(A137,'[1]saldos al 26May26'!$C$2:$I$1010,7,FALSE)</f>
        <v>-36748025.789999999</v>
      </c>
      <c r="H137" s="27"/>
      <c r="I137" s="28"/>
      <c r="J137" s="29"/>
      <c r="K137" s="25" t="s">
        <v>29</v>
      </c>
      <c r="L137" s="25" t="s">
        <v>30</v>
      </c>
      <c r="M137" s="25" t="s">
        <v>59</v>
      </c>
      <c r="N137" s="25"/>
      <c r="O137" t="s">
        <v>67</v>
      </c>
      <c r="P137" s="30">
        <v>43155668.07</v>
      </c>
      <c r="Q137" s="30">
        <v>2108983.4</v>
      </c>
      <c r="R137" s="30"/>
      <c r="S137" s="30" t="s">
        <v>33</v>
      </c>
      <c r="T137" t="s">
        <v>33</v>
      </c>
      <c r="U137" s="31" t="e">
        <v>#N/A</v>
      </c>
      <c r="V137" t="s">
        <v>34</v>
      </c>
      <c r="Y137" t="e">
        <f>VLOOKUP(A137,[2]!PRGX[[#All],[Proveedor]],1,FALSE)</f>
        <v>#REF!</v>
      </c>
    </row>
    <row r="138" spans="1:26" x14ac:dyDescent="0.25">
      <c r="A138" s="25">
        <v>28639</v>
      </c>
      <c r="B138" s="25" t="s">
        <v>183</v>
      </c>
      <c r="C138" s="26">
        <v>877594</v>
      </c>
      <c r="D138" s="27">
        <v>1298942233.5002999</v>
      </c>
      <c r="E138" s="27">
        <v>1080058925.5193</v>
      </c>
      <c r="F138" s="27">
        <v>218883307.98100001</v>
      </c>
      <c r="G138" s="27">
        <f>VLOOKUP(A138,'[1]saldos al 26May26'!$C$2:$I$1010,7,FALSE)</f>
        <v>-25782524.550000001</v>
      </c>
      <c r="H138" s="27"/>
      <c r="I138" s="28" t="s">
        <v>27</v>
      </c>
      <c r="J138" s="29">
        <v>813.16413360000001</v>
      </c>
      <c r="K138" s="25" t="s">
        <v>29</v>
      </c>
      <c r="L138" s="25" t="s">
        <v>30</v>
      </c>
      <c r="M138" s="25" t="s">
        <v>55</v>
      </c>
      <c r="N138" s="25"/>
      <c r="O138" t="s">
        <v>80</v>
      </c>
      <c r="P138" s="32">
        <v>-4095677.54</v>
      </c>
      <c r="Q138" s="30">
        <v>527712.36</v>
      </c>
      <c r="R138" s="30"/>
      <c r="S138" s="30" t="s">
        <v>33</v>
      </c>
      <c r="T138" t="s">
        <v>33</v>
      </c>
      <c r="U138" s="31" t="s">
        <v>33</v>
      </c>
      <c r="V138" t="s">
        <v>33</v>
      </c>
      <c r="Y138" t="e">
        <f>VLOOKUP(A138,[2]!PRGX[[#All],[Proveedor]],1,FALSE)</f>
        <v>#REF!</v>
      </c>
      <c r="Z138">
        <v>28639</v>
      </c>
    </row>
    <row r="139" spans="1:26" s="42" customFormat="1" x14ac:dyDescent="0.25">
      <c r="A139" s="25">
        <v>47613</v>
      </c>
      <c r="B139" s="25" t="s">
        <v>184</v>
      </c>
      <c r="C139" s="49">
        <v>341043</v>
      </c>
      <c r="D139" s="50">
        <v>1243840100.0771999</v>
      </c>
      <c r="E139" s="27">
        <v>1051835397.0279999</v>
      </c>
      <c r="F139" s="27">
        <v>192004703.0492</v>
      </c>
      <c r="G139" s="50">
        <f>VLOOKUP(A139,'[1]saldos al 26May26'!$C$2:$I$1010,7,FALSE)</f>
        <v>-5247469.6399999997</v>
      </c>
      <c r="H139" s="50"/>
      <c r="I139" s="28" t="s">
        <v>27</v>
      </c>
      <c r="J139" s="51">
        <v>694493.45743720024</v>
      </c>
      <c r="K139" s="25" t="s">
        <v>29</v>
      </c>
      <c r="L139" s="25" t="s">
        <v>30</v>
      </c>
      <c r="M139" s="25" t="s">
        <v>50</v>
      </c>
      <c r="N139" s="25"/>
      <c r="O139" t="s">
        <v>96</v>
      </c>
      <c r="P139" s="60">
        <v>-2349075.14</v>
      </c>
      <c r="Q139" s="61">
        <v>55954.42</v>
      </c>
      <c r="R139" s="30"/>
      <c r="S139" s="30">
        <v>0</v>
      </c>
      <c r="T139" t="s">
        <v>33</v>
      </c>
      <c r="U139" s="31" t="e">
        <v>#N/A</v>
      </c>
      <c r="V139" t="s">
        <v>34</v>
      </c>
      <c r="W139"/>
      <c r="Y139" t="e">
        <f>VLOOKUP(A139,[2]!PRGX[[#All],[Proveedor]],1,FALSE)</f>
        <v>#REF!</v>
      </c>
      <c r="Z139">
        <v>47613</v>
      </c>
    </row>
    <row r="140" spans="1:26" x14ac:dyDescent="0.25">
      <c r="A140" s="25">
        <v>46821</v>
      </c>
      <c r="B140" s="25" t="s">
        <v>185</v>
      </c>
      <c r="C140" s="26">
        <v>54165</v>
      </c>
      <c r="D140" s="27">
        <v>1234743868.6500001</v>
      </c>
      <c r="E140" s="27">
        <v>980324822.63000011</v>
      </c>
      <c r="F140" s="27">
        <v>254419046.02000001</v>
      </c>
      <c r="G140" s="27">
        <f>VLOOKUP(A140,'[1]saldos al 26May26'!$C$2:$I$1010,7,FALSE)</f>
        <v>-60352884.090000004</v>
      </c>
      <c r="H140" s="27"/>
      <c r="I140" s="28" t="s">
        <v>27</v>
      </c>
      <c r="J140" s="29"/>
      <c r="K140" s="25" t="s">
        <v>29</v>
      </c>
      <c r="L140" s="25" t="s">
        <v>30</v>
      </c>
      <c r="M140" s="25" t="s">
        <v>59</v>
      </c>
      <c r="N140" s="25"/>
      <c r="O140" t="s">
        <v>51</v>
      </c>
      <c r="P140" s="30">
        <v>12062.64000000013</v>
      </c>
      <c r="Q140" s="30">
        <v>1330817.8700000001</v>
      </c>
      <c r="R140" s="30">
        <v>49630.93</v>
      </c>
      <c r="S140" s="30" t="s">
        <v>33</v>
      </c>
      <c r="T140" t="s">
        <v>33</v>
      </c>
      <c r="U140" s="31" t="e">
        <v>#N/A</v>
      </c>
      <c r="V140" t="s">
        <v>34</v>
      </c>
      <c r="Y140" t="e">
        <f>VLOOKUP(A140,[2]!PRGX[[#All],[Proveedor]],1,FALSE)</f>
        <v>#REF!</v>
      </c>
      <c r="Z140">
        <v>46821</v>
      </c>
    </row>
    <row r="141" spans="1:26" x14ac:dyDescent="0.25">
      <c r="A141" s="25">
        <v>21679</v>
      </c>
      <c r="B141" s="25" t="s">
        <v>186</v>
      </c>
      <c r="C141" s="26">
        <v>265603</v>
      </c>
      <c r="D141" s="27">
        <v>1232452556.9279001</v>
      </c>
      <c r="E141" s="27">
        <v>1018822059.0679001</v>
      </c>
      <c r="F141" s="27">
        <v>213630497.86000001</v>
      </c>
      <c r="G141" s="27">
        <f>VLOOKUP(A141,'[1]saldos al 26May26'!$C$2:$I$1010,7,FALSE)</f>
        <v>-21138652.399999999</v>
      </c>
      <c r="H141" s="27"/>
      <c r="I141" s="28" t="s">
        <v>27</v>
      </c>
      <c r="J141" s="29"/>
      <c r="K141" s="25" t="s">
        <v>29</v>
      </c>
      <c r="L141" s="25" t="s">
        <v>30</v>
      </c>
      <c r="M141" s="25" t="s">
        <v>50</v>
      </c>
      <c r="N141" s="25"/>
      <c r="O141" t="s">
        <v>47</v>
      </c>
      <c r="P141" s="30">
        <v>1016455.2499999998</v>
      </c>
      <c r="Q141" s="30">
        <v>2348197.12</v>
      </c>
      <c r="R141" s="30"/>
      <c r="S141" s="30" t="s">
        <v>33</v>
      </c>
      <c r="T141" t="s">
        <v>33</v>
      </c>
      <c r="U141" s="31">
        <v>0</v>
      </c>
      <c r="V141" t="s">
        <v>42</v>
      </c>
      <c r="Y141" t="e">
        <f>VLOOKUP(A141,[2]!PRGX[[#All],[Proveedor]],1,FALSE)</f>
        <v>#REF!</v>
      </c>
      <c r="Z141">
        <v>21679</v>
      </c>
    </row>
    <row r="142" spans="1:26" x14ac:dyDescent="0.25">
      <c r="A142" s="25">
        <v>11544</v>
      </c>
      <c r="B142" s="25" t="s">
        <v>187</v>
      </c>
      <c r="C142" s="26">
        <v>131167</v>
      </c>
      <c r="D142" s="27">
        <v>1230898558.0355999</v>
      </c>
      <c r="E142" s="27">
        <v>1124263489.0388999</v>
      </c>
      <c r="F142" s="27">
        <v>106635068.9967</v>
      </c>
      <c r="G142" s="27">
        <f>VLOOKUP(A142,'[1]saldos al 26May26'!$C$2:$I$1010,7,FALSE)</f>
        <v>-15280790.109999999</v>
      </c>
      <c r="H142" s="27"/>
      <c r="I142" s="28"/>
      <c r="J142" s="29">
        <v>649966.55612171162</v>
      </c>
      <c r="K142" s="25" t="s">
        <v>40</v>
      </c>
      <c r="L142" s="25" t="s">
        <v>30</v>
      </c>
      <c r="M142" s="25" t="s">
        <v>50</v>
      </c>
      <c r="N142" s="25" t="s">
        <v>96</v>
      </c>
      <c r="O142" t="s">
        <v>96</v>
      </c>
      <c r="P142" s="30">
        <v>19755409.439999998</v>
      </c>
      <c r="Q142" s="30">
        <v>104308.31</v>
      </c>
      <c r="R142" s="30">
        <v>550006.43999999994</v>
      </c>
      <c r="S142" s="30">
        <v>0</v>
      </c>
      <c r="T142" t="s">
        <v>33</v>
      </c>
      <c r="U142" s="31">
        <v>0</v>
      </c>
      <c r="V142" t="s">
        <v>42</v>
      </c>
      <c r="Y142" t="e">
        <f>VLOOKUP(A142,[2]!PRGX[[#All],[Proveedor]],1,FALSE)</f>
        <v>#REF!</v>
      </c>
    </row>
    <row r="143" spans="1:26" x14ac:dyDescent="0.25">
      <c r="A143" s="25">
        <v>331215</v>
      </c>
      <c r="B143" s="25" t="s">
        <v>188</v>
      </c>
      <c r="C143" s="26">
        <v>426728</v>
      </c>
      <c r="D143" s="27">
        <v>1224337288.7341001</v>
      </c>
      <c r="E143" s="27">
        <v>1061446607.9251001</v>
      </c>
      <c r="F143" s="27">
        <v>162890680.80899999</v>
      </c>
      <c r="G143" s="27">
        <f>VLOOKUP(A143,'[1]saldos al 26May26'!$C$2:$I$1010,7,FALSE)</f>
        <v>-11863457.300000001</v>
      </c>
      <c r="H143" s="27"/>
      <c r="I143" s="28" t="s">
        <v>27</v>
      </c>
      <c r="J143" s="29"/>
      <c r="K143" s="25" t="s">
        <v>29</v>
      </c>
      <c r="L143" s="25" t="s">
        <v>30</v>
      </c>
      <c r="M143" s="25" t="s">
        <v>31</v>
      </c>
      <c r="N143" s="25"/>
      <c r="O143" t="s">
        <v>87</v>
      </c>
      <c r="P143" s="30">
        <v>5105122.6999999993</v>
      </c>
      <c r="Q143" s="30">
        <v>44364.4</v>
      </c>
      <c r="R143" s="30"/>
      <c r="S143" s="30" t="s">
        <v>33</v>
      </c>
      <c r="T143" t="s">
        <v>33</v>
      </c>
      <c r="U143" s="31" t="e">
        <v>#N/A</v>
      </c>
      <c r="V143" t="s">
        <v>34</v>
      </c>
      <c r="Y143" t="e">
        <f>VLOOKUP(A143,[2]!PRGX[[#All],[Proveedor]],1,FALSE)</f>
        <v>#REF!</v>
      </c>
      <c r="Z143">
        <v>331215</v>
      </c>
    </row>
    <row r="144" spans="1:26" x14ac:dyDescent="0.25">
      <c r="A144" s="25">
        <v>11949</v>
      </c>
      <c r="B144" s="25" t="s">
        <v>189</v>
      </c>
      <c r="C144" s="26">
        <v>41220</v>
      </c>
      <c r="D144" s="27">
        <v>1217788462.2128999</v>
      </c>
      <c r="E144" s="27">
        <v>1053832102.3528999</v>
      </c>
      <c r="F144" s="27">
        <v>163956359.86000001</v>
      </c>
      <c r="G144" s="27">
        <f>VLOOKUP(A144,'[1]saldos al 26May26'!$C$2:$I$1010,7,FALSE)</f>
        <v>-101876157.61</v>
      </c>
      <c r="H144" s="27"/>
      <c r="I144" s="28" t="s">
        <v>27</v>
      </c>
      <c r="J144" s="29"/>
      <c r="K144" s="25" t="s">
        <v>29</v>
      </c>
      <c r="L144" s="25" t="s">
        <v>30</v>
      </c>
      <c r="M144" s="25" t="s">
        <v>31</v>
      </c>
      <c r="N144" s="25"/>
      <c r="O144" t="s">
        <v>38</v>
      </c>
      <c r="P144" s="30">
        <v>3920006.3699999996</v>
      </c>
      <c r="Q144" s="30">
        <v>6956719.1200000001</v>
      </c>
      <c r="R144" s="30">
        <v>9646551.3200000003</v>
      </c>
      <c r="S144" s="30" t="s">
        <v>33</v>
      </c>
      <c r="T144" t="s">
        <v>33</v>
      </c>
      <c r="U144" s="31" t="e">
        <v>#N/A</v>
      </c>
      <c r="V144" t="s">
        <v>34</v>
      </c>
      <c r="Y144" t="e">
        <f>VLOOKUP(A144,[2]!PRGX[[#All],[Proveedor]],1,FALSE)</f>
        <v>#REF!</v>
      </c>
      <c r="Z144">
        <v>11949</v>
      </c>
    </row>
    <row r="145" spans="1:26" x14ac:dyDescent="0.25">
      <c r="A145" s="25">
        <v>696</v>
      </c>
      <c r="B145" s="25" t="s">
        <v>190</v>
      </c>
      <c r="C145" s="26">
        <v>9869</v>
      </c>
      <c r="D145" s="27">
        <v>1200722944.0799999</v>
      </c>
      <c r="E145" s="27">
        <v>980791701.07999992</v>
      </c>
      <c r="F145" s="27">
        <v>219931243</v>
      </c>
      <c r="G145" s="27">
        <f>VLOOKUP(A145,'[1]saldos al 26May26'!$C$2:$I$1010,7,FALSE)</f>
        <v>-76379677.989999995</v>
      </c>
      <c r="H145" s="27"/>
      <c r="I145" s="28" t="s">
        <v>27</v>
      </c>
      <c r="J145" s="29"/>
      <c r="K145" s="25" t="s">
        <v>29</v>
      </c>
      <c r="L145" s="25" t="s">
        <v>30</v>
      </c>
      <c r="M145" s="25" t="s">
        <v>50</v>
      </c>
      <c r="N145" s="25"/>
      <c r="O145" t="s">
        <v>51</v>
      </c>
      <c r="P145" s="30">
        <v>389464242.87</v>
      </c>
      <c r="Q145" s="30">
        <v>392712242.87</v>
      </c>
      <c r="R145" s="30">
        <v>110000</v>
      </c>
      <c r="S145" s="30">
        <v>0</v>
      </c>
      <c r="T145" t="s">
        <v>33</v>
      </c>
      <c r="U145" s="31" t="e">
        <v>#N/A</v>
      </c>
      <c r="V145" t="s">
        <v>34</v>
      </c>
      <c r="Y145" t="e">
        <f>VLOOKUP(A145,[2]!PRGX[[#All],[Proveedor]],1,FALSE)</f>
        <v>#REF!</v>
      </c>
      <c r="Z145">
        <v>696</v>
      </c>
    </row>
    <row r="146" spans="1:26" x14ac:dyDescent="0.25">
      <c r="A146" s="25">
        <v>26138</v>
      </c>
      <c r="B146" s="25" t="s">
        <v>191</v>
      </c>
      <c r="C146" s="26">
        <v>98943</v>
      </c>
      <c r="D146" s="27">
        <v>1191547107.744</v>
      </c>
      <c r="E146" s="27">
        <v>976612374.92400002</v>
      </c>
      <c r="F146" s="27">
        <v>214934732.81999999</v>
      </c>
      <c r="G146" s="27">
        <f>VLOOKUP(A146,'[1]saldos al 26May26'!$C$2:$I$1010,7,FALSE)</f>
        <v>-60639822.859999999</v>
      </c>
      <c r="H146" s="27"/>
      <c r="I146" s="28" t="s">
        <v>27</v>
      </c>
      <c r="J146" s="29"/>
      <c r="K146" s="25" t="s">
        <v>29</v>
      </c>
      <c r="L146" s="25" t="s">
        <v>30</v>
      </c>
      <c r="M146" s="25" t="s">
        <v>50</v>
      </c>
      <c r="N146" s="25"/>
      <c r="O146" t="s">
        <v>45</v>
      </c>
      <c r="P146" s="30">
        <v>110662580.03</v>
      </c>
      <c r="Q146" s="30">
        <v>-1446812.69</v>
      </c>
      <c r="R146" s="30"/>
      <c r="S146" s="30" t="s">
        <v>33</v>
      </c>
      <c r="T146" t="s">
        <v>33</v>
      </c>
      <c r="U146" s="31" t="e">
        <v>#N/A</v>
      </c>
      <c r="V146" t="s">
        <v>34</v>
      </c>
      <c r="Y146" t="e">
        <f>VLOOKUP(A146,[2]!PRGX[[#All],[Proveedor]],1,FALSE)</f>
        <v>#REF!</v>
      </c>
      <c r="Z146">
        <v>26138</v>
      </c>
    </row>
    <row r="147" spans="1:26" x14ac:dyDescent="0.25">
      <c r="A147" s="25">
        <v>307985</v>
      </c>
      <c r="B147" s="25" t="s">
        <v>192</v>
      </c>
      <c r="C147" s="26">
        <v>68154</v>
      </c>
      <c r="D147" s="27">
        <v>1188437443.4405</v>
      </c>
      <c r="E147" s="27">
        <v>976521970.90450001</v>
      </c>
      <c r="F147" s="27">
        <v>211915472.53600001</v>
      </c>
      <c r="G147" s="27">
        <f>VLOOKUP(A147,'[1]saldos al 26May26'!$C$2:$I$1010,7,FALSE)</f>
        <v>-16423695.99</v>
      </c>
      <c r="H147" s="27"/>
      <c r="I147" s="28" t="s">
        <v>27</v>
      </c>
      <c r="J147" s="29"/>
      <c r="K147" s="25" t="s">
        <v>29</v>
      </c>
      <c r="L147" s="25" t="s">
        <v>30</v>
      </c>
      <c r="M147" s="25" t="s">
        <v>59</v>
      </c>
      <c r="N147" s="25"/>
      <c r="O147" t="s">
        <v>36</v>
      </c>
      <c r="P147" s="30">
        <v>1273151.6399999999</v>
      </c>
      <c r="Q147" s="30">
        <v>178977.4</v>
      </c>
      <c r="R147" s="30">
        <v>144536.37</v>
      </c>
      <c r="S147" s="30" t="s">
        <v>33</v>
      </c>
      <c r="T147" t="s">
        <v>33</v>
      </c>
      <c r="U147" s="31" t="s">
        <v>33</v>
      </c>
      <c r="V147" t="s">
        <v>33</v>
      </c>
      <c r="Y147" t="e">
        <f>VLOOKUP(A147,[2]!PRGX[[#All],[Proveedor]],1,FALSE)</f>
        <v>#REF!</v>
      </c>
      <c r="Z147">
        <v>307985</v>
      </c>
    </row>
    <row r="148" spans="1:26" x14ac:dyDescent="0.25">
      <c r="A148" s="25">
        <v>189175</v>
      </c>
      <c r="B148" s="25" t="s">
        <v>193</v>
      </c>
      <c r="C148" s="26">
        <v>67506</v>
      </c>
      <c r="D148" s="27">
        <v>1178486400.0393</v>
      </c>
      <c r="E148" s="27">
        <v>1037270963.6493</v>
      </c>
      <c r="F148" s="27">
        <v>141215436.38999999</v>
      </c>
      <c r="G148" s="27">
        <f>VLOOKUP(A148,'[1]saldos al 26May26'!$C$2:$I$1010,7,FALSE)</f>
        <v>-32656071.949999999</v>
      </c>
      <c r="H148" s="27"/>
      <c r="I148" s="28"/>
      <c r="J148" s="29">
        <v>1595806.2372499998</v>
      </c>
      <c r="K148" s="25" t="s">
        <v>40</v>
      </c>
      <c r="L148" s="25" t="s">
        <v>30</v>
      </c>
      <c r="M148" s="25" t="s">
        <v>61</v>
      </c>
      <c r="N148" s="25" t="s">
        <v>47</v>
      </c>
      <c r="O148" t="s">
        <v>47</v>
      </c>
      <c r="P148" s="30">
        <v>1707589.7299999995</v>
      </c>
      <c r="Q148" s="30">
        <v>355828.12</v>
      </c>
      <c r="R148" s="30"/>
      <c r="S148" s="30" t="s">
        <v>63</v>
      </c>
      <c r="T148" t="s">
        <v>33</v>
      </c>
      <c r="U148" s="31" t="s">
        <v>33</v>
      </c>
      <c r="V148" t="s">
        <v>33</v>
      </c>
      <c r="Y148" t="e">
        <f>VLOOKUP(A148,[2]!PRGX[[#All],[Proveedor]],1,FALSE)</f>
        <v>#REF!</v>
      </c>
    </row>
    <row r="149" spans="1:26" x14ac:dyDescent="0.25">
      <c r="A149" s="25">
        <v>13835</v>
      </c>
      <c r="B149" s="25" t="s">
        <v>194</v>
      </c>
      <c r="C149" s="26">
        <v>44800</v>
      </c>
      <c r="D149" s="27">
        <v>1176777944.7</v>
      </c>
      <c r="E149" s="27">
        <v>959430256.41000009</v>
      </c>
      <c r="F149" s="27">
        <v>217347688.28999999</v>
      </c>
      <c r="G149" s="27">
        <f>VLOOKUP(A149,'[1]saldos al 26May26'!$C$2:$I$1010,7,FALSE)</f>
        <v>-11910252.689999999</v>
      </c>
      <c r="H149" s="27"/>
      <c r="I149" s="28" t="s">
        <v>27</v>
      </c>
      <c r="J149" s="29"/>
      <c r="K149" s="25" t="s">
        <v>29</v>
      </c>
      <c r="L149" s="25" t="s">
        <v>30</v>
      </c>
      <c r="M149" s="25" t="s">
        <v>59</v>
      </c>
      <c r="N149" s="25"/>
      <c r="O149" t="s">
        <v>51</v>
      </c>
      <c r="P149" s="32">
        <v>-7031910.3000000007</v>
      </c>
      <c r="Q149" s="30">
        <v>553063.12</v>
      </c>
      <c r="R149" s="30"/>
      <c r="S149" s="30" t="s">
        <v>33</v>
      </c>
      <c r="T149" t="s">
        <v>33</v>
      </c>
      <c r="U149" s="31" t="e">
        <v>#N/A</v>
      </c>
      <c r="V149" t="s">
        <v>34</v>
      </c>
      <c r="Y149" t="e">
        <f>VLOOKUP(A149,[2]!PRGX[[#All],[Proveedor]],1,FALSE)</f>
        <v>#REF!</v>
      </c>
      <c r="Z149">
        <v>13835</v>
      </c>
    </row>
    <row r="150" spans="1:26" x14ac:dyDescent="0.25">
      <c r="A150" s="25">
        <v>99267</v>
      </c>
      <c r="B150" s="25" t="s">
        <v>195</v>
      </c>
      <c r="C150" s="26">
        <v>79743</v>
      </c>
      <c r="D150" s="27">
        <v>1164532026.3504</v>
      </c>
      <c r="E150" s="27">
        <v>902858507.98379993</v>
      </c>
      <c r="F150" s="27">
        <v>261673518.36660001</v>
      </c>
      <c r="G150" s="27">
        <f>VLOOKUP(A150,'[1]saldos al 26May26'!$C$2:$I$1010,7,FALSE)</f>
        <v>-17947981.800000001</v>
      </c>
      <c r="H150" s="27"/>
      <c r="I150" s="28" t="s">
        <v>27</v>
      </c>
      <c r="J150" s="29"/>
      <c r="K150" s="25" t="s">
        <v>29</v>
      </c>
      <c r="L150" s="25" t="s">
        <v>30</v>
      </c>
      <c r="M150" s="25" t="s">
        <v>50</v>
      </c>
      <c r="N150" s="25"/>
      <c r="O150" t="s">
        <v>32</v>
      </c>
      <c r="P150" s="32">
        <v>-1044463.81</v>
      </c>
      <c r="Q150" s="30">
        <v>1163488.23</v>
      </c>
      <c r="R150" s="30">
        <v>1322181.82</v>
      </c>
      <c r="S150" s="30" t="s">
        <v>33</v>
      </c>
      <c r="T150" t="s">
        <v>33</v>
      </c>
      <c r="U150" s="31" t="e">
        <v>#N/A</v>
      </c>
      <c r="V150" t="s">
        <v>34</v>
      </c>
      <c r="Y150" t="e">
        <f>VLOOKUP(A150,[2]!PRGX[[#All],[Proveedor]],1,FALSE)</f>
        <v>#REF!</v>
      </c>
      <c r="Z150">
        <v>99267</v>
      </c>
    </row>
    <row r="151" spans="1:26" x14ac:dyDescent="0.25">
      <c r="A151" s="25">
        <v>58842</v>
      </c>
      <c r="B151" s="25" t="s">
        <v>39</v>
      </c>
      <c r="C151" s="26">
        <v>204685</v>
      </c>
      <c r="D151" s="27">
        <v>1162118787.1600001</v>
      </c>
      <c r="E151" s="27">
        <v>1016638883.5600001</v>
      </c>
      <c r="F151" s="27">
        <v>145479903.59999999</v>
      </c>
      <c r="G151" s="27">
        <f>VLOOKUP(A151,'[1]saldos al 26May26'!$C$2:$I$1010,7,FALSE)</f>
        <v>-17955549.629999999</v>
      </c>
      <c r="H151" s="27"/>
      <c r="I151" s="28" t="s">
        <v>27</v>
      </c>
      <c r="J151" s="29"/>
      <c r="K151" s="25" t="s">
        <v>29</v>
      </c>
      <c r="L151" s="25" t="s">
        <v>30</v>
      </c>
      <c r="M151" s="25" t="s">
        <v>50</v>
      </c>
      <c r="N151" s="25"/>
      <c r="O151" t="s">
        <v>51</v>
      </c>
      <c r="P151" s="30">
        <v>8094638.6999999993</v>
      </c>
      <c r="Q151" s="30">
        <v>2930150.96</v>
      </c>
      <c r="R151" s="30">
        <v>817500</v>
      </c>
      <c r="S151" s="30" t="s">
        <v>33</v>
      </c>
      <c r="T151" t="s">
        <v>33</v>
      </c>
      <c r="U151" s="31" t="e">
        <v>#N/A</v>
      </c>
      <c r="V151" t="s">
        <v>34</v>
      </c>
      <c r="Y151" t="e">
        <f>VLOOKUP(A151,[2]!PRGX[[#All],[Proveedor]],1,FALSE)</f>
        <v>#REF!</v>
      </c>
      <c r="Z151">
        <v>58842</v>
      </c>
    </row>
    <row r="152" spans="1:26" x14ac:dyDescent="0.25">
      <c r="A152" s="25">
        <v>310482</v>
      </c>
      <c r="B152" s="25" t="s">
        <v>196</v>
      </c>
      <c r="C152" s="26">
        <v>609591</v>
      </c>
      <c r="D152" s="27">
        <v>1142997920.6800001</v>
      </c>
      <c r="E152" s="27">
        <v>942191909.58000004</v>
      </c>
      <c r="F152" s="27">
        <v>200806011.09999999</v>
      </c>
      <c r="G152" s="27">
        <f>VLOOKUP(A152,'[1]saldos al 26May26'!$C$2:$I$1010,7,FALSE)</f>
        <v>-48202412.310000002</v>
      </c>
      <c r="H152" s="27"/>
      <c r="I152" s="28" t="s">
        <v>27</v>
      </c>
      <c r="J152" s="29"/>
      <c r="K152" s="25" t="s">
        <v>29</v>
      </c>
      <c r="L152" s="25" t="s">
        <v>30</v>
      </c>
      <c r="M152" s="25" t="s">
        <v>50</v>
      </c>
      <c r="N152" s="25"/>
      <c r="O152" t="s">
        <v>87</v>
      </c>
      <c r="P152" s="30">
        <v>10821240.359999999</v>
      </c>
      <c r="Q152" s="30">
        <v>25271503.16</v>
      </c>
      <c r="R152" s="30"/>
      <c r="S152" s="30" t="s">
        <v>33</v>
      </c>
      <c r="T152" t="s">
        <v>33</v>
      </c>
      <c r="U152" s="31" t="e">
        <v>#N/A</v>
      </c>
      <c r="V152" t="s">
        <v>34</v>
      </c>
      <c r="Y152" t="e">
        <f>VLOOKUP(A152,[2]!PRGX[[#All],[Proveedor]],1,FALSE)</f>
        <v>#REF!</v>
      </c>
      <c r="Z152">
        <v>310482</v>
      </c>
    </row>
    <row r="153" spans="1:26" x14ac:dyDescent="0.25">
      <c r="A153" s="25">
        <v>3773</v>
      </c>
      <c r="B153" s="25" t="s">
        <v>197</v>
      </c>
      <c r="C153" s="26">
        <v>9989</v>
      </c>
      <c r="D153" s="27">
        <v>1099869417.9400001</v>
      </c>
      <c r="E153" s="27">
        <v>760650044.26999998</v>
      </c>
      <c r="F153" s="27">
        <v>339219373.67000002</v>
      </c>
      <c r="G153" s="27">
        <f>VLOOKUP(A153,'[1]saldos al 26May26'!$C$2:$I$1010,7,FALSE)</f>
        <v>-73993162.040000007</v>
      </c>
      <c r="H153" s="27"/>
      <c r="I153" s="28" t="s">
        <v>27</v>
      </c>
      <c r="J153" s="29">
        <v>783936.81800497149</v>
      </c>
      <c r="K153" s="25" t="s">
        <v>29</v>
      </c>
      <c r="L153" s="25" t="s">
        <v>30</v>
      </c>
      <c r="M153" s="25" t="s">
        <v>31</v>
      </c>
      <c r="N153" s="25"/>
      <c r="O153" t="s">
        <v>70</v>
      </c>
      <c r="P153" s="30">
        <v>3479558.2700000005</v>
      </c>
      <c r="Q153" s="30">
        <v>740295.17</v>
      </c>
      <c r="R153" s="30"/>
      <c r="S153" s="30" t="s">
        <v>63</v>
      </c>
      <c r="T153" t="s">
        <v>33</v>
      </c>
      <c r="U153" s="31" t="s">
        <v>33</v>
      </c>
      <c r="V153" t="s">
        <v>33</v>
      </c>
      <c r="Y153" t="e">
        <f>VLOOKUP(A153,[2]!PRGX[[#All],[Proveedor]],1,FALSE)</f>
        <v>#REF!</v>
      </c>
      <c r="Z153">
        <v>3773</v>
      </c>
    </row>
    <row r="154" spans="1:26" x14ac:dyDescent="0.25">
      <c r="A154" s="52">
        <v>387779</v>
      </c>
      <c r="B154" s="52" t="s">
        <v>198</v>
      </c>
      <c r="C154" s="53">
        <v>8504</v>
      </c>
      <c r="D154" s="54">
        <v>71434623.879999995</v>
      </c>
      <c r="E154" s="27">
        <v>62011287.369999997</v>
      </c>
      <c r="F154" s="27">
        <v>9423336.5099999998</v>
      </c>
      <c r="G154" s="54">
        <f>VLOOKUP(A154,'[1]saldos al 26May26'!$C$2:$I$1010,7,FALSE)</f>
        <v>-3675703.35</v>
      </c>
      <c r="H154" s="54"/>
      <c r="I154" s="55"/>
      <c r="J154" s="56">
        <v>576833.03050942358</v>
      </c>
      <c r="K154" s="52" t="s">
        <v>40</v>
      </c>
      <c r="L154" s="52" t="s">
        <v>30</v>
      </c>
      <c r="M154" s="52" t="s">
        <v>50</v>
      </c>
      <c r="N154" s="52" t="s">
        <v>56</v>
      </c>
      <c r="O154" s="57" t="s">
        <v>56</v>
      </c>
      <c r="P154" s="59">
        <v>-34884.36</v>
      </c>
      <c r="Q154" s="58">
        <v>0</v>
      </c>
      <c r="R154" s="30"/>
      <c r="S154" s="30" t="e">
        <v>#N/A</v>
      </c>
      <c r="T154" s="57" t="s">
        <v>34</v>
      </c>
      <c r="U154" s="31">
        <v>0</v>
      </c>
      <c r="V154" s="57" t="s">
        <v>42</v>
      </c>
      <c r="X154" t="s">
        <v>43</v>
      </c>
      <c r="Y154" t="e">
        <f>VLOOKUP(A154,[2]!PRGX[[#All],[Proveedor]],1,FALSE)</f>
        <v>#REF!</v>
      </c>
    </row>
    <row r="155" spans="1:26" x14ac:dyDescent="0.25">
      <c r="A155" s="25">
        <v>44040</v>
      </c>
      <c r="B155" s="25" t="s">
        <v>199</v>
      </c>
      <c r="C155" s="26">
        <v>137659</v>
      </c>
      <c r="D155" s="27">
        <v>1066799083.46</v>
      </c>
      <c r="E155" s="27">
        <v>932986660.74000001</v>
      </c>
      <c r="F155" s="27">
        <v>133812422.72</v>
      </c>
      <c r="G155" s="27">
        <f>VLOOKUP(A155,'[1]saldos al 26May26'!$C$2:$I$1010,7,FALSE)</f>
        <v>-58186229.030000001</v>
      </c>
      <c r="H155" s="27"/>
      <c r="I155" s="28" t="s">
        <v>27</v>
      </c>
      <c r="J155" s="29"/>
      <c r="K155" s="25" t="s">
        <v>29</v>
      </c>
      <c r="L155" s="25" t="s">
        <v>30</v>
      </c>
      <c r="M155" s="25" t="s">
        <v>50</v>
      </c>
      <c r="N155" s="25"/>
      <c r="O155" t="s">
        <v>70</v>
      </c>
      <c r="P155" s="30">
        <v>1663352.48</v>
      </c>
      <c r="Q155" s="30">
        <v>1338888.48</v>
      </c>
      <c r="R155" s="30">
        <v>3418411.23</v>
      </c>
      <c r="S155" s="30" t="s">
        <v>63</v>
      </c>
      <c r="T155" t="s">
        <v>33</v>
      </c>
      <c r="U155" s="31">
        <v>0</v>
      </c>
      <c r="V155" t="s">
        <v>42</v>
      </c>
      <c r="Y155" t="e">
        <f>VLOOKUP(A155,[2]!PRGX[[#All],[Proveedor]],1,FALSE)</f>
        <v>#REF!</v>
      </c>
      <c r="Z155">
        <v>44040</v>
      </c>
    </row>
    <row r="156" spans="1:26" x14ac:dyDescent="0.25">
      <c r="A156" s="25">
        <v>6182</v>
      </c>
      <c r="B156" s="25" t="s">
        <v>200</v>
      </c>
      <c r="C156" s="26">
        <v>28824</v>
      </c>
      <c r="D156" s="27">
        <v>1055095704.665</v>
      </c>
      <c r="E156" s="27">
        <v>995855771.90499997</v>
      </c>
      <c r="F156" s="27">
        <v>59239932.759999998</v>
      </c>
      <c r="G156" s="27">
        <f>VLOOKUP(A156,'[1]saldos al 26May26'!$C$2:$I$1010,7,FALSE)</f>
        <v>-4357381.13</v>
      </c>
      <c r="H156" s="27"/>
      <c r="I156" s="28"/>
      <c r="J156" s="29"/>
      <c r="K156" s="25" t="s">
        <v>29</v>
      </c>
      <c r="L156" s="25" t="s">
        <v>30</v>
      </c>
      <c r="M156" s="25" t="s">
        <v>59</v>
      </c>
      <c r="N156" s="25"/>
      <c r="O156" t="s">
        <v>67</v>
      </c>
      <c r="P156" s="32">
        <v>-3872276.04</v>
      </c>
      <c r="Q156" s="30">
        <v>1067795.43</v>
      </c>
      <c r="R156" s="30"/>
      <c r="S156" s="30">
        <v>0</v>
      </c>
      <c r="T156" t="s">
        <v>33</v>
      </c>
      <c r="U156" s="31" t="e">
        <v>#N/A</v>
      </c>
      <c r="V156" t="s">
        <v>34</v>
      </c>
      <c r="Y156" t="e">
        <f>VLOOKUP(A156,[2]!PRGX[[#All],[Proveedor]],1,FALSE)</f>
        <v>#REF!</v>
      </c>
    </row>
    <row r="157" spans="1:26" x14ac:dyDescent="0.25">
      <c r="A157" s="36">
        <v>21208</v>
      </c>
      <c r="B157" s="36" t="s">
        <v>201</v>
      </c>
      <c r="C157" s="37">
        <v>9450</v>
      </c>
      <c r="D157" s="38">
        <v>1047694571.23</v>
      </c>
      <c r="E157" s="38">
        <v>1041291095.04</v>
      </c>
      <c r="F157" s="38">
        <v>6403476.1900000004</v>
      </c>
      <c r="G157" s="38">
        <f>VLOOKUP(A157,'[1]saldos al 26May26'!$C$2:$I$1010,7,FALSE)</f>
        <v>885272.87</v>
      </c>
      <c r="H157" s="39" t="s">
        <v>54</v>
      </c>
      <c r="I157" s="40"/>
      <c r="J157" s="41"/>
      <c r="K157" s="36" t="s">
        <v>29</v>
      </c>
      <c r="L157" s="36" t="s">
        <v>30</v>
      </c>
      <c r="M157" s="36" t="s">
        <v>55</v>
      </c>
      <c r="N157" s="25"/>
      <c r="O157" s="42" t="s">
        <v>45</v>
      </c>
      <c r="P157" s="30">
        <v>171952.84</v>
      </c>
      <c r="Q157" s="30">
        <v>2313622.4</v>
      </c>
      <c r="R157" s="30"/>
      <c r="S157" s="30" t="s">
        <v>33</v>
      </c>
      <c r="T157" t="s">
        <v>33</v>
      </c>
      <c r="U157" s="31" t="e">
        <v>#N/A</v>
      </c>
      <c r="V157" t="s">
        <v>34</v>
      </c>
      <c r="Y157" t="e">
        <f>VLOOKUP(A157,[2]!PRGX[[#All],[Proveedor]],1,FALSE)</f>
        <v>#REF!</v>
      </c>
    </row>
    <row r="158" spans="1:26" x14ac:dyDescent="0.25">
      <c r="A158" s="25">
        <v>54791</v>
      </c>
      <c r="B158" s="25" t="s">
        <v>202</v>
      </c>
      <c r="C158" s="26">
        <v>541367</v>
      </c>
      <c r="D158" s="27">
        <v>1013937056.4499</v>
      </c>
      <c r="E158" s="27">
        <v>886022568.88020003</v>
      </c>
      <c r="F158" s="27">
        <v>127914487.5697</v>
      </c>
      <c r="G158" s="27">
        <f>VLOOKUP(A158,'[1]saldos al 26May26'!$C$2:$I$1010,7,FALSE)</f>
        <v>-8731738.8499999996</v>
      </c>
      <c r="H158" s="27"/>
      <c r="I158" s="28" t="s">
        <v>27</v>
      </c>
      <c r="J158" s="29"/>
      <c r="K158" s="25" t="s">
        <v>29</v>
      </c>
      <c r="L158" s="25" t="s">
        <v>30</v>
      </c>
      <c r="M158" s="25" t="s">
        <v>50</v>
      </c>
      <c r="N158" s="25"/>
      <c r="O158" t="s">
        <v>45</v>
      </c>
      <c r="P158" s="30">
        <v>221583569.35000002</v>
      </c>
      <c r="Q158" s="30">
        <v>712482.83</v>
      </c>
      <c r="R158" s="30"/>
      <c r="S158" s="30">
        <v>0</v>
      </c>
      <c r="T158" t="s">
        <v>33</v>
      </c>
      <c r="U158" s="31" t="e">
        <v>#N/A</v>
      </c>
      <c r="V158" t="s">
        <v>34</v>
      </c>
      <c r="Y158" t="e">
        <f>VLOOKUP(A158,[2]!PRGX[[#All],[Proveedor]],1,FALSE)</f>
        <v>#REF!</v>
      </c>
      <c r="Z158">
        <v>54791</v>
      </c>
    </row>
    <row r="159" spans="1:26" x14ac:dyDescent="0.25">
      <c r="A159" s="25">
        <v>7112</v>
      </c>
      <c r="B159" s="25" t="s">
        <v>203</v>
      </c>
      <c r="C159" s="26">
        <v>756715</v>
      </c>
      <c r="D159" s="27">
        <v>1008903298.6799999</v>
      </c>
      <c r="E159" s="27">
        <v>898228294.49000001</v>
      </c>
      <c r="F159" s="27">
        <v>110675004.19</v>
      </c>
      <c r="G159" s="27">
        <f>VLOOKUP(A159,'[1]saldos al 26May26'!$C$2:$I$1010,7,FALSE)</f>
        <v>-107742946.68000001</v>
      </c>
      <c r="H159" s="27"/>
      <c r="I159" s="28" t="s">
        <v>27</v>
      </c>
      <c r="J159" s="29"/>
      <c r="K159" s="25" t="s">
        <v>29</v>
      </c>
      <c r="L159" s="25" t="s">
        <v>30</v>
      </c>
      <c r="M159" s="25" t="s">
        <v>59</v>
      </c>
      <c r="N159" s="25"/>
      <c r="O159" t="s">
        <v>36</v>
      </c>
      <c r="P159" s="32">
        <v>-16402815.4</v>
      </c>
      <c r="Q159" s="30">
        <v>0</v>
      </c>
      <c r="R159" s="30">
        <v>3020816.22</v>
      </c>
      <c r="S159" s="30" t="s">
        <v>33</v>
      </c>
      <c r="T159" t="s">
        <v>33</v>
      </c>
      <c r="U159" s="31" t="e">
        <v>#N/A</v>
      </c>
      <c r="V159" t="s">
        <v>34</v>
      </c>
      <c r="Y159" t="e">
        <f>VLOOKUP(A159,[2]!PRGX[[#All],[Proveedor]],1,FALSE)</f>
        <v>#REF!</v>
      </c>
      <c r="Z159">
        <v>7112</v>
      </c>
    </row>
    <row r="160" spans="1:26" x14ac:dyDescent="0.25">
      <c r="A160" s="25">
        <v>4010</v>
      </c>
      <c r="B160" s="25" t="s">
        <v>204</v>
      </c>
      <c r="C160" s="26">
        <v>32057</v>
      </c>
      <c r="D160" s="27">
        <v>1001854260.67</v>
      </c>
      <c r="E160" s="27">
        <v>887459730.74000001</v>
      </c>
      <c r="F160" s="27">
        <v>114394529.93000001</v>
      </c>
      <c r="G160" s="27">
        <f>VLOOKUP(A160,'[1]saldos al 26May26'!$C$2:$I$1010,7,FALSE)</f>
        <v>-58877068.450000003</v>
      </c>
      <c r="H160" s="27"/>
      <c r="I160" s="28" t="s">
        <v>27</v>
      </c>
      <c r="J160" s="29"/>
      <c r="K160" s="25" t="s">
        <v>29</v>
      </c>
      <c r="L160" s="25" t="s">
        <v>30</v>
      </c>
      <c r="M160" s="25" t="s">
        <v>31</v>
      </c>
      <c r="N160" s="25"/>
      <c r="O160" t="s">
        <v>32</v>
      </c>
      <c r="P160" s="32">
        <v>-830361.76</v>
      </c>
      <c r="Q160" s="30">
        <v>749077.11</v>
      </c>
      <c r="R160" s="30">
        <v>9317026</v>
      </c>
      <c r="S160" s="30" t="s">
        <v>33</v>
      </c>
      <c r="T160" t="s">
        <v>33</v>
      </c>
      <c r="U160" s="31" t="s">
        <v>33</v>
      </c>
      <c r="V160" t="s">
        <v>33</v>
      </c>
      <c r="Y160" t="e">
        <f>VLOOKUP(A160,[2]!PRGX[[#All],[Proveedor]],1,FALSE)</f>
        <v>#REF!</v>
      </c>
      <c r="Z160">
        <v>4010</v>
      </c>
    </row>
    <row r="161" spans="1:26" x14ac:dyDescent="0.25">
      <c r="A161" s="25">
        <v>307988</v>
      </c>
      <c r="B161" s="25" t="s">
        <v>205</v>
      </c>
      <c r="C161" s="26">
        <v>154883</v>
      </c>
      <c r="D161" s="27">
        <v>999197417.35000002</v>
      </c>
      <c r="E161" s="27">
        <v>774090692.4000001</v>
      </c>
      <c r="F161" s="27">
        <v>225106724.94999999</v>
      </c>
      <c r="G161" s="27">
        <f>VLOOKUP(A161,'[1]saldos al 26May26'!$C$2:$I$1010,7,FALSE)</f>
        <v>-19929199.800000001</v>
      </c>
      <c r="H161" s="27"/>
      <c r="I161" s="28" t="s">
        <v>27</v>
      </c>
      <c r="J161" s="29"/>
      <c r="K161" s="25" t="s">
        <v>29</v>
      </c>
      <c r="L161" s="25" t="s">
        <v>30</v>
      </c>
      <c r="M161" s="25" t="s">
        <v>59</v>
      </c>
      <c r="N161" s="25"/>
      <c r="O161" t="s">
        <v>45</v>
      </c>
      <c r="P161" s="32">
        <v>-1025302.62</v>
      </c>
      <c r="Q161" s="30">
        <v>1385222.51</v>
      </c>
      <c r="R161" s="30">
        <v>15865045.189999999</v>
      </c>
      <c r="S161" s="30">
        <v>0</v>
      </c>
      <c r="T161" t="s">
        <v>33</v>
      </c>
      <c r="U161" s="31" t="e">
        <v>#N/A</v>
      </c>
      <c r="V161" t="s">
        <v>34</v>
      </c>
      <c r="Y161" t="e">
        <f>VLOOKUP(A161,[2]!PRGX[[#All],[Proveedor]],1,FALSE)</f>
        <v>#REF!</v>
      </c>
      <c r="Z161">
        <v>307988</v>
      </c>
    </row>
    <row r="162" spans="1:26" x14ac:dyDescent="0.25">
      <c r="A162" s="25">
        <v>346361</v>
      </c>
      <c r="B162" s="25" t="s">
        <v>206</v>
      </c>
      <c r="C162" s="26">
        <v>789270</v>
      </c>
      <c r="D162" s="27">
        <v>997897403.07239997</v>
      </c>
      <c r="E162" s="27">
        <v>692200097.91129994</v>
      </c>
      <c r="F162" s="27">
        <v>305697305.16109997</v>
      </c>
      <c r="G162" s="27">
        <f>VLOOKUP(A162,'[1]saldos al 26May26'!$C$2:$I$1010,7,FALSE)</f>
        <v>-17366715.239999998</v>
      </c>
      <c r="H162" s="27"/>
      <c r="I162" s="28" t="s">
        <v>27</v>
      </c>
      <c r="J162" s="29"/>
      <c r="K162" s="25" t="s">
        <v>29</v>
      </c>
      <c r="L162" s="25" t="s">
        <v>30</v>
      </c>
      <c r="M162" s="25" t="s">
        <v>31</v>
      </c>
      <c r="N162" s="25"/>
      <c r="O162" t="s">
        <v>45</v>
      </c>
      <c r="P162" s="30">
        <v>5313652.95</v>
      </c>
      <c r="Q162" s="30">
        <v>43408</v>
      </c>
      <c r="R162" s="30"/>
      <c r="S162" s="30" t="s">
        <v>33</v>
      </c>
      <c r="T162" t="s">
        <v>33</v>
      </c>
      <c r="U162" s="31" t="e">
        <v>#N/A</v>
      </c>
      <c r="V162" t="s">
        <v>34</v>
      </c>
      <c r="Y162" t="e">
        <f>VLOOKUP(A162,[2]!PRGX[[#All],[Proveedor]],1,FALSE)</f>
        <v>#REF!</v>
      </c>
      <c r="Z162">
        <v>346361</v>
      </c>
    </row>
    <row r="163" spans="1:26" x14ac:dyDescent="0.25">
      <c r="A163" s="25">
        <v>15606</v>
      </c>
      <c r="B163" s="25" t="s">
        <v>207</v>
      </c>
      <c r="C163" s="26">
        <v>181627</v>
      </c>
      <c r="D163" s="27">
        <v>989222010.16999996</v>
      </c>
      <c r="E163" s="27">
        <v>823883751.54999995</v>
      </c>
      <c r="F163" s="27">
        <v>165338258.62</v>
      </c>
      <c r="G163" s="27">
        <f>VLOOKUP(A163,'[1]saldos al 26May26'!$C$2:$I$1010,7,FALSE)</f>
        <v>-66448985.490000002</v>
      </c>
      <c r="H163" s="27"/>
      <c r="I163" s="28" t="s">
        <v>27</v>
      </c>
      <c r="J163" s="29"/>
      <c r="K163" s="25" t="s">
        <v>29</v>
      </c>
      <c r="L163" s="25" t="s">
        <v>30</v>
      </c>
      <c r="M163" s="25" t="s">
        <v>59</v>
      </c>
      <c r="N163" s="25"/>
      <c r="O163" t="s">
        <v>80</v>
      </c>
      <c r="P163" s="30">
        <v>1001129.9500000002</v>
      </c>
      <c r="Q163" s="30">
        <v>1595027.78</v>
      </c>
      <c r="R163" s="30">
        <v>12500</v>
      </c>
      <c r="S163" s="30" t="s">
        <v>33</v>
      </c>
      <c r="T163" t="s">
        <v>33</v>
      </c>
      <c r="U163" s="31" t="e">
        <v>#N/A</v>
      </c>
      <c r="V163" t="s">
        <v>34</v>
      </c>
      <c r="Y163" t="e">
        <f>VLOOKUP(A163,[2]!PRGX[[#All],[Proveedor]],1,FALSE)</f>
        <v>#REF!</v>
      </c>
      <c r="Z163">
        <v>15606</v>
      </c>
    </row>
    <row r="164" spans="1:26" x14ac:dyDescent="0.25">
      <c r="A164" s="25">
        <v>53306</v>
      </c>
      <c r="B164" s="25" t="s">
        <v>208</v>
      </c>
      <c r="C164" s="26">
        <v>44409</v>
      </c>
      <c r="D164" s="27">
        <v>989145809.47000003</v>
      </c>
      <c r="E164" s="27">
        <v>778233462.56000006</v>
      </c>
      <c r="F164" s="27">
        <v>210912346.91</v>
      </c>
      <c r="G164" s="27">
        <f>VLOOKUP(A164,'[1]saldos al 26May26'!$C$2:$I$1010,7,FALSE)</f>
        <v>-16090460.57</v>
      </c>
      <c r="H164" s="27"/>
      <c r="I164" s="28" t="s">
        <v>27</v>
      </c>
      <c r="J164" s="29"/>
      <c r="K164" s="25" t="s">
        <v>29</v>
      </c>
      <c r="L164" s="25" t="s">
        <v>30</v>
      </c>
      <c r="M164" s="25" t="s">
        <v>59</v>
      </c>
      <c r="N164" s="25"/>
      <c r="O164" t="s">
        <v>80</v>
      </c>
      <c r="P164" s="32">
        <v>-96369.349999999991</v>
      </c>
      <c r="Q164" s="30">
        <v>-75924.639999999999</v>
      </c>
      <c r="R164" s="30">
        <v>644905.78</v>
      </c>
      <c r="S164" s="30" t="s">
        <v>63</v>
      </c>
      <c r="T164" t="s">
        <v>33</v>
      </c>
      <c r="U164" s="31" t="s">
        <v>33</v>
      </c>
      <c r="V164" t="s">
        <v>33</v>
      </c>
      <c r="Y164" t="e">
        <f>VLOOKUP(A164,[2]!PRGX[[#All],[Proveedor]],1,FALSE)</f>
        <v>#REF!</v>
      </c>
      <c r="Z164">
        <v>53306</v>
      </c>
    </row>
    <row r="165" spans="1:26" x14ac:dyDescent="0.25">
      <c r="A165" s="25">
        <v>16200</v>
      </c>
      <c r="B165" s="25" t="s">
        <v>209</v>
      </c>
      <c r="C165" s="26">
        <v>8652</v>
      </c>
      <c r="D165" s="27">
        <v>981225878</v>
      </c>
      <c r="E165" s="27">
        <v>898820137</v>
      </c>
      <c r="F165" s="27">
        <v>82405741</v>
      </c>
      <c r="G165" s="27">
        <f>VLOOKUP(A165,'[1]saldos al 26May26'!$C$2:$I$1010,7,FALSE)</f>
        <v>-6638287.2699999996</v>
      </c>
      <c r="H165" s="27"/>
      <c r="I165" s="28" t="s">
        <v>27</v>
      </c>
      <c r="J165" s="29"/>
      <c r="K165" s="25" t="s">
        <v>29</v>
      </c>
      <c r="L165" s="25" t="s">
        <v>30</v>
      </c>
      <c r="M165" s="25" t="s">
        <v>59</v>
      </c>
      <c r="N165" s="25"/>
      <c r="O165" t="s">
        <v>87</v>
      </c>
      <c r="P165" s="32">
        <v>-189214.5</v>
      </c>
      <c r="Q165" s="30">
        <v>1074755</v>
      </c>
      <c r="R165" s="30">
        <v>1800000</v>
      </c>
      <c r="S165" s="30" t="s">
        <v>33</v>
      </c>
      <c r="T165" t="s">
        <v>33</v>
      </c>
      <c r="U165" s="31" t="s">
        <v>33</v>
      </c>
      <c r="V165" t="s">
        <v>33</v>
      </c>
      <c r="Y165" t="e">
        <f>VLOOKUP(A165,[2]!PRGX[[#All],[Proveedor]],1,FALSE)</f>
        <v>#REF!</v>
      </c>
      <c r="Z165">
        <v>16200</v>
      </c>
    </row>
    <row r="166" spans="1:26" x14ac:dyDescent="0.25">
      <c r="A166" s="25">
        <v>80622</v>
      </c>
      <c r="B166" s="25" t="s">
        <v>210</v>
      </c>
      <c r="C166" s="26">
        <v>226186</v>
      </c>
      <c r="D166" s="27">
        <v>977880349.83200002</v>
      </c>
      <c r="E166" s="27">
        <v>799648504.17200005</v>
      </c>
      <c r="F166" s="27">
        <v>178231845.66</v>
      </c>
      <c r="G166" s="27">
        <f>VLOOKUP(A166,'[1]saldos al 26May26'!$C$2:$I$1010,7,FALSE)</f>
        <v>-53754562.289999999</v>
      </c>
      <c r="H166" s="27"/>
      <c r="I166" s="28" t="s">
        <v>27</v>
      </c>
      <c r="J166" s="29">
        <v>6887053.1787200272</v>
      </c>
      <c r="K166" s="25" t="s">
        <v>29</v>
      </c>
      <c r="L166" s="25" t="s">
        <v>30</v>
      </c>
      <c r="M166" s="25" t="s">
        <v>59</v>
      </c>
      <c r="N166" s="25"/>
      <c r="O166" t="s">
        <v>51</v>
      </c>
      <c r="P166" s="30">
        <v>19496299.640000001</v>
      </c>
      <c r="Q166" s="30">
        <v>2675928.8000000003</v>
      </c>
      <c r="R166" s="30">
        <v>530798.79</v>
      </c>
      <c r="S166" s="30" t="s">
        <v>63</v>
      </c>
      <c r="T166" t="s">
        <v>42</v>
      </c>
      <c r="U166" s="31" t="e">
        <v>#N/A</v>
      </c>
      <c r="V166" t="s">
        <v>34</v>
      </c>
      <c r="X166" t="s">
        <v>43</v>
      </c>
      <c r="Y166" t="e">
        <f>VLOOKUP(A166,[2]!PRGX[[#All],[Proveedor]],1,FALSE)</f>
        <v>#REF!</v>
      </c>
      <c r="Z166">
        <v>80622</v>
      </c>
    </row>
    <row r="167" spans="1:26" x14ac:dyDescent="0.25">
      <c r="A167" s="25">
        <v>21951</v>
      </c>
      <c r="B167" s="25" t="s">
        <v>211</v>
      </c>
      <c r="C167" s="26">
        <v>3065</v>
      </c>
      <c r="D167" s="27">
        <v>967392327.01999998</v>
      </c>
      <c r="E167" s="27">
        <v>623983336.31999993</v>
      </c>
      <c r="F167" s="27">
        <v>343408990.69999999</v>
      </c>
      <c r="G167" s="27">
        <f>VLOOKUP(A167,'[1]saldos al 26May26'!$C$2:$I$1010,7,FALSE)</f>
        <v>-133670241.13</v>
      </c>
      <c r="H167" s="27"/>
      <c r="I167" s="28" t="s">
        <v>27</v>
      </c>
      <c r="J167" s="29"/>
      <c r="K167" s="25" t="s">
        <v>29</v>
      </c>
      <c r="L167" s="25" t="s">
        <v>30</v>
      </c>
      <c r="M167" s="25" t="s">
        <v>59</v>
      </c>
      <c r="N167" s="25"/>
      <c r="O167" t="s">
        <v>47</v>
      </c>
      <c r="P167" s="30">
        <v>39189668.439999998</v>
      </c>
      <c r="Q167" s="30">
        <v>1271441.8700000001</v>
      </c>
      <c r="R167" s="30"/>
      <c r="S167" s="30" t="s">
        <v>33</v>
      </c>
      <c r="T167" t="s">
        <v>33</v>
      </c>
      <c r="U167" s="31" t="e">
        <v>#N/A</v>
      </c>
      <c r="V167" t="s">
        <v>34</v>
      </c>
      <c r="Y167" t="e">
        <f>VLOOKUP(A167,[2]!PRGX[[#All],[Proveedor]],1,FALSE)</f>
        <v>#REF!</v>
      </c>
      <c r="Z167">
        <v>21951</v>
      </c>
    </row>
    <row r="168" spans="1:26" x14ac:dyDescent="0.25">
      <c r="A168" s="25">
        <v>52779</v>
      </c>
      <c r="B168" s="25" t="s">
        <v>212</v>
      </c>
      <c r="C168" s="26">
        <v>40226</v>
      </c>
      <c r="D168" s="27">
        <v>966930801.75399995</v>
      </c>
      <c r="E168" s="27">
        <v>890941116.17999995</v>
      </c>
      <c r="F168" s="27">
        <v>75989685.574000001</v>
      </c>
      <c r="G168" s="27">
        <f>VLOOKUP(A168,'[1]saldos al 26May26'!$C$2:$I$1010,7,FALSE)</f>
        <v>-3509147.83</v>
      </c>
      <c r="H168" s="27"/>
      <c r="I168" s="28"/>
      <c r="J168" s="29"/>
      <c r="K168" s="25" t="s">
        <v>29</v>
      </c>
      <c r="L168" s="25" t="s">
        <v>30</v>
      </c>
      <c r="M168" s="25" t="s">
        <v>59</v>
      </c>
      <c r="N168" s="25"/>
      <c r="O168" t="s">
        <v>70</v>
      </c>
      <c r="P168" s="30">
        <v>185269.27000000002</v>
      </c>
      <c r="Q168" s="30">
        <v>430851.88</v>
      </c>
      <c r="R168" s="30"/>
      <c r="S168" s="30" t="s">
        <v>33</v>
      </c>
      <c r="T168" t="s">
        <v>33</v>
      </c>
      <c r="U168" s="31" t="s">
        <v>33</v>
      </c>
      <c r="V168" t="s">
        <v>33</v>
      </c>
      <c r="Y168" t="e">
        <f>VLOOKUP(A168,[2]!PRGX[[#All],[Proveedor]],1,FALSE)</f>
        <v>#REF!</v>
      </c>
    </row>
    <row r="169" spans="1:26" x14ac:dyDescent="0.25">
      <c r="A169" s="25">
        <v>98608</v>
      </c>
      <c r="B169" s="25" t="s">
        <v>213</v>
      </c>
      <c r="C169" s="26">
        <v>68050</v>
      </c>
      <c r="D169" s="27">
        <v>961550200</v>
      </c>
      <c r="E169" s="27">
        <v>852596605</v>
      </c>
      <c r="F169" s="27">
        <v>108953595</v>
      </c>
      <c r="G169" s="27">
        <f>VLOOKUP(A169,'[1]saldos al 26May26'!$C$2:$I$1010,7,FALSE)</f>
        <v>-1293773.92</v>
      </c>
      <c r="H169" s="27"/>
      <c r="I169" s="28" t="s">
        <v>27</v>
      </c>
      <c r="J169" s="29"/>
      <c r="K169" s="25" t="s">
        <v>29</v>
      </c>
      <c r="L169" s="25" t="s">
        <v>30</v>
      </c>
      <c r="M169" s="25" t="s">
        <v>59</v>
      </c>
      <c r="N169" s="25"/>
      <c r="O169" t="s">
        <v>96</v>
      </c>
      <c r="P169" s="32">
        <v>-4673361.8100000005</v>
      </c>
      <c r="Q169" s="30">
        <v>-131395.51999999999</v>
      </c>
      <c r="R169" s="30"/>
      <c r="S169" s="30" t="s">
        <v>63</v>
      </c>
      <c r="T169" t="s">
        <v>33</v>
      </c>
      <c r="U169" s="31" t="e">
        <v>#N/A</v>
      </c>
      <c r="V169" t="s">
        <v>34</v>
      </c>
      <c r="Y169" t="e">
        <f>VLOOKUP(A169,[2]!PRGX[[#All],[Proveedor]],1,FALSE)</f>
        <v>#REF!</v>
      </c>
      <c r="Z169">
        <v>98608</v>
      </c>
    </row>
    <row r="170" spans="1:26" x14ac:dyDescent="0.25">
      <c r="A170" s="25">
        <v>92593</v>
      </c>
      <c r="B170" s="25" t="s">
        <v>214</v>
      </c>
      <c r="C170" s="26">
        <v>669894</v>
      </c>
      <c r="D170" s="27">
        <v>955949270.64629996</v>
      </c>
      <c r="E170" s="27">
        <v>913097717.80239999</v>
      </c>
      <c r="F170" s="27">
        <v>42851552.843900003</v>
      </c>
      <c r="G170" s="27">
        <f>VLOOKUP(A170,'[1]saldos al 26May26'!$C$2:$I$1010,7,FALSE)</f>
        <v>-1784693.71</v>
      </c>
      <c r="H170" s="27"/>
      <c r="I170" s="28"/>
      <c r="J170" s="29">
        <v>23450.15</v>
      </c>
      <c r="K170" s="25" t="s">
        <v>29</v>
      </c>
      <c r="L170" s="25" t="s">
        <v>30</v>
      </c>
      <c r="M170" s="25" t="s">
        <v>50</v>
      </c>
      <c r="N170" s="25"/>
      <c r="O170" t="s">
        <v>32</v>
      </c>
      <c r="P170" s="30">
        <v>10349778.469999999</v>
      </c>
      <c r="Q170" s="30">
        <v>8636.1899999999987</v>
      </c>
      <c r="R170" s="30"/>
      <c r="S170" s="30">
        <v>0</v>
      </c>
      <c r="T170" t="s">
        <v>33</v>
      </c>
      <c r="U170" s="31" t="e">
        <v>#N/A</v>
      </c>
      <c r="V170" t="s">
        <v>34</v>
      </c>
      <c r="Y170" t="e">
        <f>VLOOKUP(A170,[2]!PRGX[[#All],[Proveedor]],1,FALSE)</f>
        <v>#REF!</v>
      </c>
    </row>
    <row r="171" spans="1:26" x14ac:dyDescent="0.25">
      <c r="A171" s="25">
        <v>336370</v>
      </c>
      <c r="B171" s="25" t="s">
        <v>215</v>
      </c>
      <c r="C171" s="26">
        <v>50681</v>
      </c>
      <c r="D171" s="27">
        <v>944454486.37479997</v>
      </c>
      <c r="E171" s="27">
        <v>916492257.51459992</v>
      </c>
      <c r="F171" s="27">
        <v>27962228.860199999</v>
      </c>
      <c r="G171" s="27">
        <f>VLOOKUP(A171,'[1]saldos al 26May26'!$C$2:$I$1010,7,FALSE)</f>
        <v>-1038130.97</v>
      </c>
      <c r="H171" s="27"/>
      <c r="I171" s="28"/>
      <c r="J171" s="29"/>
      <c r="K171" s="25" t="s">
        <v>29</v>
      </c>
      <c r="L171" s="25" t="s">
        <v>30</v>
      </c>
      <c r="M171" s="25" t="s">
        <v>59</v>
      </c>
      <c r="N171" s="25"/>
      <c r="O171" t="s">
        <v>32</v>
      </c>
      <c r="P171" s="32">
        <v>-13674479.770000001</v>
      </c>
      <c r="Q171" s="30">
        <v>19158.72</v>
      </c>
      <c r="R171" s="30">
        <v>88517.77</v>
      </c>
      <c r="S171" s="30" t="s">
        <v>33</v>
      </c>
      <c r="T171" t="s">
        <v>33</v>
      </c>
      <c r="U171" s="31" t="s">
        <v>33</v>
      </c>
      <c r="V171" t="s">
        <v>33</v>
      </c>
      <c r="Y171" t="e">
        <f>VLOOKUP(A171,[2]!PRGX[[#All],[Proveedor]],1,FALSE)</f>
        <v>#REF!</v>
      </c>
    </row>
    <row r="172" spans="1:26" x14ac:dyDescent="0.25">
      <c r="A172" s="25">
        <v>20230</v>
      </c>
      <c r="B172" s="25" t="s">
        <v>216</v>
      </c>
      <c r="C172" s="26">
        <v>29255</v>
      </c>
      <c r="D172" s="27">
        <v>943932070.45099998</v>
      </c>
      <c r="E172" s="27">
        <v>781822497.66100001</v>
      </c>
      <c r="F172" s="27">
        <v>162109572.78999999</v>
      </c>
      <c r="G172" s="27">
        <f>VLOOKUP(A172,'[1]saldos al 26May26'!$C$2:$I$1010,7,FALSE)</f>
        <v>-73297516.5</v>
      </c>
      <c r="H172" s="27"/>
      <c r="I172" s="28" t="s">
        <v>27</v>
      </c>
      <c r="J172" s="29"/>
      <c r="K172" s="25" t="s">
        <v>29</v>
      </c>
      <c r="L172" s="25" t="s">
        <v>30</v>
      </c>
      <c r="M172" s="25" t="s">
        <v>50</v>
      </c>
      <c r="N172" s="25"/>
      <c r="O172" t="s">
        <v>70</v>
      </c>
      <c r="P172" s="32">
        <v>-5759949.5899999999</v>
      </c>
      <c r="Q172" s="30">
        <v>2511625.25</v>
      </c>
      <c r="R172" s="30"/>
      <c r="S172" s="30">
        <v>0</v>
      </c>
      <c r="T172" t="s">
        <v>33</v>
      </c>
      <c r="U172" s="31" t="e">
        <v>#N/A</v>
      </c>
      <c r="V172" t="s">
        <v>34</v>
      </c>
      <c r="Y172" t="e">
        <f>VLOOKUP(A172,[2]!PRGX[[#All],[Proveedor]],1,FALSE)</f>
        <v>#REF!</v>
      </c>
      <c r="Z172">
        <v>20230</v>
      </c>
    </row>
    <row r="173" spans="1:26" x14ac:dyDescent="0.25">
      <c r="A173" s="25">
        <v>4423</v>
      </c>
      <c r="B173" s="25" t="s">
        <v>217</v>
      </c>
      <c r="C173" s="26">
        <v>116186</v>
      </c>
      <c r="D173" s="27">
        <v>941992728.62</v>
      </c>
      <c r="E173" s="27">
        <v>812981456.86000001</v>
      </c>
      <c r="F173" s="27">
        <v>129011271.76000001</v>
      </c>
      <c r="G173" s="27">
        <f>VLOOKUP(A173,'[1]saldos al 26May26'!$C$2:$I$1010,7,FALSE)</f>
        <v>-27740394.82</v>
      </c>
      <c r="H173" s="27"/>
      <c r="I173" s="28"/>
      <c r="J173" s="29"/>
      <c r="K173" s="25" t="s">
        <v>29</v>
      </c>
      <c r="L173" s="25" t="s">
        <v>30</v>
      </c>
      <c r="M173" s="25" t="s">
        <v>50</v>
      </c>
      <c r="N173" s="25"/>
      <c r="O173" t="s">
        <v>36</v>
      </c>
      <c r="P173" s="32">
        <v>-8269469.9299999997</v>
      </c>
      <c r="Q173" s="30">
        <v>10601677.529999999</v>
      </c>
      <c r="R173" s="30"/>
      <c r="S173" s="30" t="s">
        <v>63</v>
      </c>
      <c r="T173" t="s">
        <v>33</v>
      </c>
      <c r="U173" s="31" t="e">
        <v>#N/A</v>
      </c>
      <c r="V173" t="s">
        <v>34</v>
      </c>
      <c r="Y173" t="e">
        <f>VLOOKUP(A173,[2]!PRGX[[#All],[Proveedor]],1,FALSE)</f>
        <v>#REF!</v>
      </c>
    </row>
    <row r="174" spans="1:26" x14ac:dyDescent="0.25">
      <c r="A174" s="25">
        <v>44172</v>
      </c>
      <c r="B174" s="25" t="s">
        <v>218</v>
      </c>
      <c r="C174" s="26">
        <v>65830</v>
      </c>
      <c r="D174" s="27">
        <v>940385874.74479997</v>
      </c>
      <c r="E174" s="27">
        <v>794339604.23479998</v>
      </c>
      <c r="F174" s="27">
        <v>146046270.50999999</v>
      </c>
      <c r="G174" s="27">
        <f>VLOOKUP(A174,'[1]saldos al 26May26'!$C$2:$I$1010,7,FALSE)</f>
        <v>-43247301.899999999</v>
      </c>
      <c r="H174" s="27"/>
      <c r="I174" s="28" t="s">
        <v>27</v>
      </c>
      <c r="J174" s="29"/>
      <c r="K174" s="25" t="s">
        <v>29</v>
      </c>
      <c r="L174" s="25" t="s">
        <v>30</v>
      </c>
      <c r="M174" s="25" t="s">
        <v>31</v>
      </c>
      <c r="N174" s="25"/>
      <c r="O174" t="s">
        <v>36</v>
      </c>
      <c r="P174" s="30">
        <v>533574.04</v>
      </c>
      <c r="Q174" s="30">
        <v>3736623.11</v>
      </c>
      <c r="R174" s="30">
        <v>37850.400000000001</v>
      </c>
      <c r="S174" s="30" t="s">
        <v>33</v>
      </c>
      <c r="T174" t="s">
        <v>33</v>
      </c>
      <c r="U174" s="31" t="e">
        <v>#N/A</v>
      </c>
      <c r="V174" t="s">
        <v>34</v>
      </c>
      <c r="Y174" t="e">
        <f>VLOOKUP(A174,[2]!PRGX[[#All],[Proveedor]],1,FALSE)</f>
        <v>#REF!</v>
      </c>
      <c r="Z174">
        <v>44172</v>
      </c>
    </row>
    <row r="175" spans="1:26" x14ac:dyDescent="0.25">
      <c r="A175" s="25">
        <v>322537</v>
      </c>
      <c r="B175" s="25" t="s">
        <v>219</v>
      </c>
      <c r="C175" s="26">
        <v>316771</v>
      </c>
      <c r="D175" s="27">
        <v>939592745.10000002</v>
      </c>
      <c r="E175" s="27">
        <v>817569340.57000005</v>
      </c>
      <c r="F175" s="27">
        <v>122023404.53</v>
      </c>
      <c r="G175" s="27">
        <f>VLOOKUP(A175,'[1]saldos al 26May26'!$C$2:$I$1010,7,FALSE)</f>
        <v>-59452577.039999999</v>
      </c>
      <c r="H175" s="27"/>
      <c r="I175" s="28" t="s">
        <v>27</v>
      </c>
      <c r="J175" s="29"/>
      <c r="K175" s="25" t="s">
        <v>29</v>
      </c>
      <c r="L175" s="25" t="s">
        <v>30</v>
      </c>
      <c r="M175" s="25" t="s">
        <v>50</v>
      </c>
      <c r="N175" s="25"/>
      <c r="O175" t="s">
        <v>45</v>
      </c>
      <c r="P175" s="32">
        <v>-4145116.8000000003</v>
      </c>
      <c r="Q175" s="30">
        <v>521496.41</v>
      </c>
      <c r="R175" s="30">
        <v>904568.72</v>
      </c>
      <c r="S175" s="30">
        <v>0</v>
      </c>
      <c r="T175" t="s">
        <v>33</v>
      </c>
      <c r="U175" s="31" t="e">
        <v>#N/A</v>
      </c>
      <c r="V175" t="s">
        <v>34</v>
      </c>
      <c r="Y175" t="e">
        <f>VLOOKUP(A175,[2]!PRGX[[#All],[Proveedor]],1,FALSE)</f>
        <v>#REF!</v>
      </c>
      <c r="Z175">
        <v>322537</v>
      </c>
    </row>
    <row r="176" spans="1:26" x14ac:dyDescent="0.25">
      <c r="A176" s="25">
        <v>21853</v>
      </c>
      <c r="B176" s="25" t="s">
        <v>220</v>
      </c>
      <c r="C176" s="26">
        <v>15133</v>
      </c>
      <c r="D176" s="27">
        <v>938966669.79999995</v>
      </c>
      <c r="E176" s="27">
        <v>788527963.5999999</v>
      </c>
      <c r="F176" s="27">
        <v>150438706.19999999</v>
      </c>
      <c r="G176" s="27">
        <f>VLOOKUP(A176,'[1]saldos al 26May26'!$C$2:$I$1010,7,FALSE)</f>
        <v>-23093521.440000001</v>
      </c>
      <c r="H176" s="27"/>
      <c r="I176" s="28" t="s">
        <v>27</v>
      </c>
      <c r="J176" s="29"/>
      <c r="K176" s="25" t="s">
        <v>29</v>
      </c>
      <c r="L176" s="25" t="s">
        <v>30</v>
      </c>
      <c r="M176" s="25" t="s">
        <v>59</v>
      </c>
      <c r="N176" s="25"/>
      <c r="O176" t="s">
        <v>41</v>
      </c>
      <c r="P176" s="30">
        <v>33218097.939999998</v>
      </c>
      <c r="Q176" s="30">
        <v>191475.20000000001</v>
      </c>
      <c r="R176" s="30">
        <v>500000</v>
      </c>
      <c r="S176" s="30">
        <v>0</v>
      </c>
      <c r="T176" t="s">
        <v>33</v>
      </c>
      <c r="U176" s="31" t="e">
        <v>#N/A</v>
      </c>
      <c r="V176" t="s">
        <v>34</v>
      </c>
      <c r="Y176" t="e">
        <f>VLOOKUP(A176,[2]!PRGX[[#All],[Proveedor]],1,FALSE)</f>
        <v>#REF!</v>
      </c>
      <c r="Z176">
        <v>21853</v>
      </c>
    </row>
    <row r="177" spans="1:26" x14ac:dyDescent="0.25">
      <c r="A177" s="25">
        <v>100370</v>
      </c>
      <c r="B177" s="25" t="s">
        <v>221</v>
      </c>
      <c r="C177" s="26">
        <v>152836</v>
      </c>
      <c r="D177" s="27">
        <v>937102722.86819994</v>
      </c>
      <c r="E177" s="27">
        <v>604533814.02899992</v>
      </c>
      <c r="F177" s="27">
        <v>332568908.83920002</v>
      </c>
      <c r="G177" s="27">
        <f>VLOOKUP(A177,'[1]saldos al 26May26'!$C$2:$I$1010,7,FALSE)</f>
        <v>-27897306.829999998</v>
      </c>
      <c r="H177" s="27"/>
      <c r="I177" s="28" t="s">
        <v>27</v>
      </c>
      <c r="J177" s="29"/>
      <c r="K177" s="25" t="s">
        <v>29</v>
      </c>
      <c r="L177" s="25" t="s">
        <v>30</v>
      </c>
      <c r="M177" s="25" t="s">
        <v>59</v>
      </c>
      <c r="N177" s="25"/>
      <c r="O177" t="s">
        <v>47</v>
      </c>
      <c r="P177" s="30">
        <v>47260.589999999851</v>
      </c>
      <c r="Q177" s="30">
        <v>1972964.55</v>
      </c>
      <c r="R177" s="30">
        <v>463128.19</v>
      </c>
      <c r="S177" s="30" t="s">
        <v>63</v>
      </c>
      <c r="T177" t="s">
        <v>33</v>
      </c>
      <c r="U177" s="31" t="e">
        <v>#N/A</v>
      </c>
      <c r="V177" t="s">
        <v>34</v>
      </c>
      <c r="Y177" t="e">
        <f>VLOOKUP(A177,[2]!PRGX[[#All],[Proveedor]],1,FALSE)</f>
        <v>#REF!</v>
      </c>
      <c r="Z177">
        <v>100370</v>
      </c>
    </row>
    <row r="178" spans="1:26" x14ac:dyDescent="0.25">
      <c r="A178" s="25">
        <v>30858</v>
      </c>
      <c r="B178" s="25" t="s">
        <v>222</v>
      </c>
      <c r="C178" s="26">
        <v>337806</v>
      </c>
      <c r="D178" s="27">
        <v>934774276.46000004</v>
      </c>
      <c r="E178" s="27">
        <v>777300000.60000002</v>
      </c>
      <c r="F178" s="27">
        <v>157474275.86000001</v>
      </c>
      <c r="G178" s="27">
        <f>VLOOKUP(A178,'[1]saldos al 26May26'!$C$2:$I$1010,7,FALSE)</f>
        <v>-39996544.479999997</v>
      </c>
      <c r="H178" s="27"/>
      <c r="I178" s="28" t="s">
        <v>27</v>
      </c>
      <c r="J178" s="29"/>
      <c r="K178" s="25" t="s">
        <v>29</v>
      </c>
      <c r="L178" s="25" t="s">
        <v>30</v>
      </c>
      <c r="M178" s="25" t="s">
        <v>50</v>
      </c>
      <c r="N178" s="25"/>
      <c r="O178" t="s">
        <v>96</v>
      </c>
      <c r="P178" s="32">
        <v>-831044.56</v>
      </c>
      <c r="Q178" s="30">
        <v>0</v>
      </c>
      <c r="R178" s="30"/>
      <c r="S178" s="30" t="s">
        <v>33</v>
      </c>
      <c r="T178" t="s">
        <v>33</v>
      </c>
      <c r="U178" s="31" t="e">
        <v>#N/A</v>
      </c>
      <c r="V178" t="s">
        <v>34</v>
      </c>
      <c r="Y178" t="e">
        <f>VLOOKUP(A178,[2]!PRGX[[#All],[Proveedor]],1,FALSE)</f>
        <v>#REF!</v>
      </c>
      <c r="Z178">
        <v>30858</v>
      </c>
    </row>
    <row r="179" spans="1:26" x14ac:dyDescent="0.25">
      <c r="A179" s="25">
        <v>315846</v>
      </c>
      <c r="B179" s="25" t="s">
        <v>223</v>
      </c>
      <c r="C179" s="26">
        <v>198002</v>
      </c>
      <c r="D179" s="27">
        <v>933407554.82889998</v>
      </c>
      <c r="E179" s="27">
        <v>769240113.75460005</v>
      </c>
      <c r="F179" s="27">
        <v>164167441.07429999</v>
      </c>
      <c r="G179" s="27">
        <f>VLOOKUP(A179,'[1]saldos al 26May26'!$C$2:$I$1010,7,FALSE)</f>
        <v>-2675080.92</v>
      </c>
      <c r="H179" s="27"/>
      <c r="I179" s="28" t="s">
        <v>27</v>
      </c>
      <c r="J179" s="29"/>
      <c r="K179" s="25" t="s">
        <v>29</v>
      </c>
      <c r="L179" s="25" t="s">
        <v>30</v>
      </c>
      <c r="M179" s="25" t="s">
        <v>50</v>
      </c>
      <c r="N179" s="25"/>
      <c r="O179" t="s">
        <v>38</v>
      </c>
      <c r="P179" s="30">
        <v>1226306.1100000001</v>
      </c>
      <c r="Q179" s="30">
        <v>59132.659999999996</v>
      </c>
      <c r="R179" s="30">
        <v>350000</v>
      </c>
      <c r="S179" s="30" t="s">
        <v>33</v>
      </c>
      <c r="T179" t="s">
        <v>33</v>
      </c>
      <c r="U179" s="31" t="e">
        <v>#N/A</v>
      </c>
      <c r="V179" t="s">
        <v>34</v>
      </c>
      <c r="Y179" t="e">
        <f>VLOOKUP(A179,[2]!PRGX[[#All],[Proveedor]],1,FALSE)</f>
        <v>#REF!</v>
      </c>
      <c r="Z179">
        <v>315846</v>
      </c>
    </row>
    <row r="180" spans="1:26" x14ac:dyDescent="0.25">
      <c r="A180" s="25">
        <v>327197</v>
      </c>
      <c r="B180" s="25" t="s">
        <v>224</v>
      </c>
      <c r="C180" s="26">
        <v>118684</v>
      </c>
      <c r="D180" s="27">
        <v>921998252.77999997</v>
      </c>
      <c r="E180" s="27">
        <v>773349179.52999997</v>
      </c>
      <c r="F180" s="27">
        <v>148649073.25</v>
      </c>
      <c r="G180" s="27">
        <f>VLOOKUP(A180,'[1]saldos al 26May26'!$C$2:$I$1010,7,FALSE)</f>
        <v>-39074351.170000002</v>
      </c>
      <c r="H180" s="27"/>
      <c r="I180" s="28" t="s">
        <v>27</v>
      </c>
      <c r="J180" s="29"/>
      <c r="K180" s="25" t="s">
        <v>29</v>
      </c>
      <c r="L180" s="25" t="s">
        <v>30</v>
      </c>
      <c r="M180" s="25" t="s">
        <v>59</v>
      </c>
      <c r="N180" s="25"/>
      <c r="O180" t="s">
        <v>87</v>
      </c>
      <c r="P180" s="30">
        <v>22678.020000000019</v>
      </c>
      <c r="Q180" s="30">
        <v>565295.89</v>
      </c>
      <c r="R180" s="30"/>
      <c r="S180" s="30">
        <v>0</v>
      </c>
      <c r="T180" t="s">
        <v>33</v>
      </c>
      <c r="U180" s="31" t="s">
        <v>33</v>
      </c>
      <c r="V180" t="s">
        <v>33</v>
      </c>
      <c r="Y180" t="e">
        <f>VLOOKUP(A180,[2]!PRGX[[#All],[Proveedor]],1,FALSE)</f>
        <v>#REF!</v>
      </c>
      <c r="Z180">
        <v>327197</v>
      </c>
    </row>
    <row r="181" spans="1:26" x14ac:dyDescent="0.25">
      <c r="A181" s="25">
        <v>81653</v>
      </c>
      <c r="B181" s="25" t="s">
        <v>225</v>
      </c>
      <c r="C181" s="26">
        <v>134337</v>
      </c>
      <c r="D181" s="27">
        <v>912760113.13670003</v>
      </c>
      <c r="E181" s="27">
        <v>747465834.84000003</v>
      </c>
      <c r="F181" s="27">
        <v>165294278.2967</v>
      </c>
      <c r="G181" s="27">
        <f>VLOOKUP(A181,'[1]saldos al 26May26'!$C$2:$I$1010,7,FALSE)</f>
        <v>-35652549.079999998</v>
      </c>
      <c r="H181" s="27"/>
      <c r="I181" s="28" t="s">
        <v>27</v>
      </c>
      <c r="J181" s="29"/>
      <c r="K181" s="25" t="s">
        <v>29</v>
      </c>
      <c r="L181" s="25" t="s">
        <v>30</v>
      </c>
      <c r="M181" s="25" t="s">
        <v>50</v>
      </c>
      <c r="N181" s="25"/>
      <c r="O181" t="s">
        <v>87</v>
      </c>
      <c r="P181" s="32">
        <v>-2820787.7</v>
      </c>
      <c r="Q181" s="30">
        <v>0</v>
      </c>
      <c r="R181" s="30">
        <v>1820086.91</v>
      </c>
      <c r="S181" s="30" t="s">
        <v>33</v>
      </c>
      <c r="T181" t="s">
        <v>33</v>
      </c>
      <c r="U181" s="31" t="e">
        <v>#N/A</v>
      </c>
      <c r="V181" t="s">
        <v>34</v>
      </c>
      <c r="Y181" t="e">
        <f>VLOOKUP(A181,[2]!PRGX[[#All],[Proveedor]],1,FALSE)</f>
        <v>#REF!</v>
      </c>
      <c r="Z181">
        <v>81653</v>
      </c>
    </row>
    <row r="182" spans="1:26" x14ac:dyDescent="0.25">
      <c r="A182" s="25">
        <v>25025</v>
      </c>
      <c r="B182" s="25" t="s">
        <v>226</v>
      </c>
      <c r="C182" s="26">
        <v>116088</v>
      </c>
      <c r="D182" s="27">
        <v>909290064.88</v>
      </c>
      <c r="E182" s="27">
        <v>448396158</v>
      </c>
      <c r="F182" s="27">
        <v>460893906.88</v>
      </c>
      <c r="G182" s="27">
        <f>VLOOKUP(A182,'[1]saldos al 26May26'!$C$2:$I$1010,7,FALSE)</f>
        <v>-104241963.77</v>
      </c>
      <c r="H182" s="27"/>
      <c r="I182" s="28" t="s">
        <v>27</v>
      </c>
      <c r="J182" s="29"/>
      <c r="K182" s="25" t="s">
        <v>29</v>
      </c>
      <c r="L182" s="25" t="s">
        <v>30</v>
      </c>
      <c r="M182" s="25" t="s">
        <v>31</v>
      </c>
      <c r="N182" s="25"/>
      <c r="O182" t="s">
        <v>80</v>
      </c>
      <c r="P182" s="32">
        <v>-5724.48</v>
      </c>
      <c r="Q182" s="30">
        <v>0</v>
      </c>
      <c r="R182" s="30"/>
      <c r="S182" s="30" t="s">
        <v>33</v>
      </c>
      <c r="T182" t="s">
        <v>33</v>
      </c>
      <c r="U182" s="31" t="e">
        <v>#N/A</v>
      </c>
      <c r="V182" t="s">
        <v>34</v>
      </c>
      <c r="Y182" t="e">
        <f>VLOOKUP(A182,[2]!PRGX[[#All],[Proveedor]],1,FALSE)</f>
        <v>#REF!</v>
      </c>
      <c r="Z182">
        <v>25025</v>
      </c>
    </row>
    <row r="183" spans="1:26" x14ac:dyDescent="0.25">
      <c r="A183" s="25">
        <v>395863</v>
      </c>
      <c r="B183" s="25" t="s">
        <v>227</v>
      </c>
      <c r="C183" s="26">
        <v>243262</v>
      </c>
      <c r="D183" s="27">
        <v>896259761.88660002</v>
      </c>
      <c r="E183" s="27">
        <v>812556324.90180004</v>
      </c>
      <c r="F183" s="27">
        <v>83703436.984799996</v>
      </c>
      <c r="G183" s="27">
        <f>VLOOKUP(A183,'[1]saldos al 26May26'!$C$2:$I$1010,7,FALSE)</f>
        <v>-5545082.6299999999</v>
      </c>
      <c r="H183" s="27"/>
      <c r="I183" s="28"/>
      <c r="J183" s="29"/>
      <c r="K183" s="25" t="s">
        <v>29</v>
      </c>
      <c r="L183" s="25" t="s">
        <v>30</v>
      </c>
      <c r="M183" s="25" t="s">
        <v>59</v>
      </c>
      <c r="N183" s="25"/>
      <c r="O183" t="s">
        <v>70</v>
      </c>
      <c r="P183" s="30">
        <v>349433.86</v>
      </c>
      <c r="Q183" s="30">
        <v>175177.64</v>
      </c>
      <c r="R183" s="30"/>
      <c r="S183" s="30" t="s">
        <v>33</v>
      </c>
      <c r="T183" t="s">
        <v>33</v>
      </c>
      <c r="U183" s="31" t="s">
        <v>33</v>
      </c>
      <c r="V183" t="s">
        <v>33</v>
      </c>
      <c r="Y183" t="e">
        <f>VLOOKUP(A183,[2]!PRGX[[#All],[Proveedor]],1,FALSE)</f>
        <v>#REF!</v>
      </c>
    </row>
    <row r="184" spans="1:26" x14ac:dyDescent="0.25">
      <c r="A184" s="25">
        <v>6366</v>
      </c>
      <c r="B184" s="25" t="s">
        <v>228</v>
      </c>
      <c r="C184" s="26">
        <v>45737</v>
      </c>
      <c r="D184" s="27">
        <v>896186681.78999996</v>
      </c>
      <c r="E184" s="27">
        <v>886263482.44999993</v>
      </c>
      <c r="F184" s="27">
        <v>9923199.3399999999</v>
      </c>
      <c r="G184" s="27">
        <f>VLOOKUP(A184,'[1]saldos al 26May26'!$C$2:$I$1010,7,FALSE)</f>
        <v>-28832.61</v>
      </c>
      <c r="H184" s="27"/>
      <c r="I184" s="28"/>
      <c r="J184" s="29">
        <v>1571033.1600305398</v>
      </c>
      <c r="K184" s="25" t="s">
        <v>40</v>
      </c>
      <c r="L184" s="25" t="s">
        <v>30</v>
      </c>
      <c r="M184" s="25" t="s">
        <v>59</v>
      </c>
      <c r="N184" s="25" t="s">
        <v>47</v>
      </c>
      <c r="O184" t="s">
        <v>47</v>
      </c>
      <c r="P184" s="30">
        <v>175829.92</v>
      </c>
      <c r="Q184" s="30">
        <v>178870</v>
      </c>
      <c r="R184" s="30"/>
      <c r="S184" s="30" t="s">
        <v>63</v>
      </c>
      <c r="T184" t="s">
        <v>33</v>
      </c>
      <c r="U184" s="31" t="s">
        <v>33</v>
      </c>
      <c r="V184" t="s">
        <v>33</v>
      </c>
      <c r="Y184" t="e">
        <f>VLOOKUP(A184,[2]!PRGX[[#All],[Proveedor]],1,FALSE)</f>
        <v>#REF!</v>
      </c>
    </row>
    <row r="185" spans="1:26" x14ac:dyDescent="0.25">
      <c r="A185" s="25">
        <v>16709</v>
      </c>
      <c r="B185" s="25" t="s">
        <v>229</v>
      </c>
      <c r="C185" s="26">
        <v>90732</v>
      </c>
      <c r="D185" s="27">
        <v>894735207.25</v>
      </c>
      <c r="E185" s="27">
        <v>752881455.54999995</v>
      </c>
      <c r="F185" s="27">
        <v>141853751.69999999</v>
      </c>
      <c r="G185" s="27">
        <f>VLOOKUP(A185,'[1]saldos al 26May26'!$C$2:$I$1010,7,FALSE)</f>
        <v>-48375675.020000003</v>
      </c>
      <c r="H185" s="27"/>
      <c r="I185" s="28" t="s">
        <v>27</v>
      </c>
      <c r="J185" s="29"/>
      <c r="K185" s="25" t="s">
        <v>29</v>
      </c>
      <c r="L185" s="25" t="s">
        <v>30</v>
      </c>
      <c r="M185" s="25" t="s">
        <v>59</v>
      </c>
      <c r="N185" s="25"/>
      <c r="O185" t="s">
        <v>38</v>
      </c>
      <c r="P185" s="30">
        <v>17902035.459999997</v>
      </c>
      <c r="Q185" s="30">
        <v>2422926.67</v>
      </c>
      <c r="R185" s="30">
        <v>8527</v>
      </c>
      <c r="S185" s="30" t="s">
        <v>33</v>
      </c>
      <c r="T185" t="s">
        <v>33</v>
      </c>
      <c r="U185" s="31" t="s">
        <v>33</v>
      </c>
      <c r="V185" t="s">
        <v>33</v>
      </c>
      <c r="Y185" t="e">
        <f>VLOOKUP(A185,[2]!PRGX[[#All],[Proveedor]],1,FALSE)</f>
        <v>#REF!</v>
      </c>
      <c r="Z185">
        <v>16709</v>
      </c>
    </row>
    <row r="186" spans="1:26" x14ac:dyDescent="0.25">
      <c r="A186" s="25">
        <v>303985</v>
      </c>
      <c r="B186" s="25" t="s">
        <v>230</v>
      </c>
      <c r="C186" s="26">
        <v>33914</v>
      </c>
      <c r="D186" s="27">
        <v>890812386.17999995</v>
      </c>
      <c r="E186" s="27">
        <v>790455357.005</v>
      </c>
      <c r="F186" s="27">
        <v>100357029.175</v>
      </c>
      <c r="G186" s="27">
        <f>VLOOKUP(A186,'[1]saldos al 26May26'!$C$2:$I$1010,7,FALSE)</f>
        <v>-2619767.08</v>
      </c>
      <c r="H186" s="27"/>
      <c r="I186" s="28"/>
      <c r="J186" s="29"/>
      <c r="K186" s="25" t="s">
        <v>29</v>
      </c>
      <c r="L186" s="25" t="s">
        <v>30</v>
      </c>
      <c r="M186" s="25" t="s">
        <v>59</v>
      </c>
      <c r="N186" s="25"/>
      <c r="O186" t="s">
        <v>70</v>
      </c>
      <c r="P186" s="32">
        <v>-10989888.680000002</v>
      </c>
      <c r="Q186" s="30">
        <v>1060567.8</v>
      </c>
      <c r="R186" s="30"/>
      <c r="S186" s="30" t="s">
        <v>33</v>
      </c>
      <c r="T186" t="s">
        <v>33</v>
      </c>
      <c r="U186" s="31" t="e">
        <v>#N/A</v>
      </c>
      <c r="V186" t="s">
        <v>34</v>
      </c>
      <c r="Y186" t="e">
        <f>VLOOKUP(A186,[2]!PRGX[[#All],[Proveedor]],1,FALSE)</f>
        <v>#REF!</v>
      </c>
    </row>
    <row r="187" spans="1:26" x14ac:dyDescent="0.25">
      <c r="A187" s="25">
        <v>67322</v>
      </c>
      <c r="B187" s="25" t="s">
        <v>231</v>
      </c>
      <c r="C187" s="26">
        <v>239038</v>
      </c>
      <c r="D187" s="27">
        <v>890646765.54499996</v>
      </c>
      <c r="E187" s="27">
        <v>775576840.96999991</v>
      </c>
      <c r="F187" s="27">
        <v>115069924.575</v>
      </c>
      <c r="G187" s="27">
        <f>VLOOKUP(A187,'[1]saldos al 26May26'!$C$2:$I$1010,7,FALSE)</f>
        <v>-350823.13</v>
      </c>
      <c r="H187" s="27"/>
      <c r="I187" s="28" t="s">
        <v>27</v>
      </c>
      <c r="J187" s="29"/>
      <c r="K187" s="25" t="s">
        <v>29</v>
      </c>
      <c r="L187" s="25" t="s">
        <v>30</v>
      </c>
      <c r="M187" s="25" t="s">
        <v>31</v>
      </c>
      <c r="N187" s="25"/>
      <c r="O187" t="s">
        <v>36</v>
      </c>
      <c r="P187" s="32">
        <v>-2177246.89</v>
      </c>
      <c r="Q187" s="30">
        <v>-644856.46</v>
      </c>
      <c r="R187" s="30"/>
      <c r="S187" s="30" t="s">
        <v>33</v>
      </c>
      <c r="T187" t="s">
        <v>33</v>
      </c>
      <c r="U187" s="31" t="e">
        <v>#N/A</v>
      </c>
      <c r="V187" t="s">
        <v>34</v>
      </c>
      <c r="Y187" t="e">
        <f>VLOOKUP(A187,[2]!PRGX[[#All],[Proveedor]],1,FALSE)</f>
        <v>#REF!</v>
      </c>
      <c r="Z187">
        <v>67322</v>
      </c>
    </row>
    <row r="188" spans="1:26" x14ac:dyDescent="0.25">
      <c r="A188" s="25">
        <v>324673</v>
      </c>
      <c r="B188" s="25" t="s">
        <v>232</v>
      </c>
      <c r="C188" s="26">
        <v>27191</v>
      </c>
      <c r="D188" s="27">
        <v>885097098.86099994</v>
      </c>
      <c r="E188" s="27">
        <v>762110272.43199992</v>
      </c>
      <c r="F188" s="27">
        <v>122986826.42900001</v>
      </c>
      <c r="G188" s="27">
        <f>VLOOKUP(A188,'[1]saldos al 26May26'!$C$2:$I$1010,7,FALSE)</f>
        <v>-3429531.16</v>
      </c>
      <c r="H188" s="27"/>
      <c r="I188" s="28" t="s">
        <v>27</v>
      </c>
      <c r="J188" s="29"/>
      <c r="K188" s="25" t="s">
        <v>29</v>
      </c>
      <c r="L188" s="25" t="s">
        <v>30</v>
      </c>
      <c r="M188" s="25" t="s">
        <v>31</v>
      </c>
      <c r="N188" s="25"/>
      <c r="O188" t="s">
        <v>51</v>
      </c>
      <c r="P188" s="30">
        <v>804757.59000000008</v>
      </c>
      <c r="Q188" s="30">
        <v>4647034.45</v>
      </c>
      <c r="R188" s="30"/>
      <c r="S188" s="30" t="s">
        <v>33</v>
      </c>
      <c r="T188" t="s">
        <v>33</v>
      </c>
      <c r="U188" s="31" t="e">
        <v>#N/A</v>
      </c>
      <c r="V188" t="s">
        <v>34</v>
      </c>
      <c r="Y188" t="e">
        <f>VLOOKUP(A188,[2]!PRGX[[#All],[Proveedor]],1,FALSE)</f>
        <v>#REF!</v>
      </c>
      <c r="Z188">
        <v>324673</v>
      </c>
    </row>
    <row r="189" spans="1:26" x14ac:dyDescent="0.25">
      <c r="A189" s="25">
        <v>38083</v>
      </c>
      <c r="B189" s="25" t="s">
        <v>233</v>
      </c>
      <c r="C189" s="26">
        <v>90386</v>
      </c>
      <c r="D189" s="27">
        <v>871448700.30760002</v>
      </c>
      <c r="E189" s="27">
        <v>730827069.38450003</v>
      </c>
      <c r="F189" s="27">
        <v>140621630.92309999</v>
      </c>
      <c r="G189" s="27">
        <f>VLOOKUP(A189,'[1]saldos al 26May26'!$C$2:$I$1010,7,FALSE)</f>
        <v>-13345283.609999999</v>
      </c>
      <c r="H189" s="27"/>
      <c r="I189" s="28" t="s">
        <v>27</v>
      </c>
      <c r="J189" s="29"/>
      <c r="K189" s="25" t="s">
        <v>29</v>
      </c>
      <c r="L189" s="25" t="s">
        <v>30</v>
      </c>
      <c r="M189" s="25" t="s">
        <v>59</v>
      </c>
      <c r="N189" s="25"/>
      <c r="O189" t="s">
        <v>51</v>
      </c>
      <c r="P189" s="30">
        <v>65698069.300000004</v>
      </c>
      <c r="Q189" s="30">
        <v>165187.75</v>
      </c>
      <c r="R189" s="30">
        <v>4712.38</v>
      </c>
      <c r="S189" s="30" t="s">
        <v>33</v>
      </c>
      <c r="T189" t="s">
        <v>33</v>
      </c>
      <c r="U189" s="31" t="e">
        <v>#N/A</v>
      </c>
      <c r="V189" t="s">
        <v>34</v>
      </c>
      <c r="Y189" t="e">
        <f>VLOOKUP(A189,[2]!PRGX[[#All],[Proveedor]],1,FALSE)</f>
        <v>#REF!</v>
      </c>
      <c r="Z189">
        <v>38083</v>
      </c>
    </row>
    <row r="190" spans="1:26" x14ac:dyDescent="0.25">
      <c r="A190" s="25">
        <v>348847</v>
      </c>
      <c r="B190" s="25" t="s">
        <v>234</v>
      </c>
      <c r="C190" s="26">
        <v>2726</v>
      </c>
      <c r="D190" s="27">
        <v>13027807.98</v>
      </c>
      <c r="E190" s="27">
        <v>10636916.07</v>
      </c>
      <c r="F190" s="27">
        <v>2390891.91</v>
      </c>
      <c r="G190" s="27">
        <f>VLOOKUP(A190,'[1]saldos al 26May26'!$C$2:$I$1010,7,FALSE)</f>
        <v>-280693.53000000003</v>
      </c>
      <c r="H190" s="27"/>
      <c r="I190" s="28"/>
      <c r="J190" s="29">
        <v>479156.78329335502</v>
      </c>
      <c r="K190" s="25" t="s">
        <v>40</v>
      </c>
      <c r="L190" s="25" t="s">
        <v>30</v>
      </c>
      <c r="M190" s="25" t="s">
        <v>50</v>
      </c>
      <c r="N190" s="25" t="s">
        <v>56</v>
      </c>
      <c r="O190" t="s">
        <v>56</v>
      </c>
      <c r="P190" s="30">
        <v>1470.87</v>
      </c>
      <c r="Q190" s="30">
        <v>0</v>
      </c>
      <c r="R190" s="30">
        <v>3336</v>
      </c>
      <c r="S190" s="30" t="e">
        <v>#N/A</v>
      </c>
      <c r="T190" t="s">
        <v>34</v>
      </c>
      <c r="U190" s="31" t="e">
        <v>#N/A</v>
      </c>
      <c r="V190" t="s">
        <v>34</v>
      </c>
      <c r="Y190" t="e">
        <f>VLOOKUP(A190,[2]!PRGX[[#All],[Proveedor]],1,FALSE)</f>
        <v>#REF!</v>
      </c>
    </row>
    <row r="191" spans="1:26" x14ac:dyDescent="0.25">
      <c r="A191" s="25">
        <v>206417</v>
      </c>
      <c r="B191" s="25" t="s">
        <v>235</v>
      </c>
      <c r="C191" s="26">
        <v>311626</v>
      </c>
      <c r="D191" s="27">
        <v>832843666.38789999</v>
      </c>
      <c r="E191" s="27">
        <v>706705059.69749999</v>
      </c>
      <c r="F191" s="27">
        <v>126138606.6904</v>
      </c>
      <c r="G191" s="27">
        <f>VLOOKUP(A191,'[1]saldos al 26May26'!$C$2:$I$1010,7,FALSE)</f>
        <v>-11523672.16</v>
      </c>
      <c r="H191" s="27"/>
      <c r="I191" s="28" t="s">
        <v>27</v>
      </c>
      <c r="J191" s="29"/>
      <c r="K191" s="25" t="s">
        <v>29</v>
      </c>
      <c r="L191" s="25" t="s">
        <v>30</v>
      </c>
      <c r="M191" s="25" t="s">
        <v>50</v>
      </c>
      <c r="N191" s="25"/>
      <c r="O191" t="s">
        <v>70</v>
      </c>
      <c r="P191" s="32">
        <v>-1426547.1600000001</v>
      </c>
      <c r="Q191" s="30">
        <v>55909.02</v>
      </c>
      <c r="R191" s="30">
        <v>220696.6</v>
      </c>
      <c r="S191" s="30" t="s">
        <v>63</v>
      </c>
      <c r="T191" t="s">
        <v>33</v>
      </c>
      <c r="U191" s="31">
        <v>0</v>
      </c>
      <c r="V191" t="s">
        <v>42</v>
      </c>
      <c r="Y191" t="e">
        <f>VLOOKUP(A191,[2]!PRGX[[#All],[Proveedor]],1,FALSE)</f>
        <v>#REF!</v>
      </c>
      <c r="Z191">
        <v>206417</v>
      </c>
    </row>
    <row r="192" spans="1:26" x14ac:dyDescent="0.25">
      <c r="A192" s="25">
        <v>320283</v>
      </c>
      <c r="B192" s="25" t="s">
        <v>236</v>
      </c>
      <c r="C192" s="26">
        <v>6011</v>
      </c>
      <c r="D192" s="27">
        <v>818856179.19500005</v>
      </c>
      <c r="E192" s="27">
        <v>700812561.80300009</v>
      </c>
      <c r="F192" s="27">
        <v>118043617.392</v>
      </c>
      <c r="G192" s="27">
        <f>VLOOKUP(A192,'[1]saldos al 26May26'!$C$2:$I$1010,7,FALSE)</f>
        <v>-7577507.5999999996</v>
      </c>
      <c r="H192" s="27"/>
      <c r="I192" s="28"/>
      <c r="J192" s="29"/>
      <c r="K192" s="25" t="s">
        <v>29</v>
      </c>
      <c r="L192" s="25" t="s">
        <v>30</v>
      </c>
      <c r="M192" s="25" t="s">
        <v>59</v>
      </c>
      <c r="N192" s="25"/>
      <c r="O192" t="s">
        <v>87</v>
      </c>
      <c r="P192" s="32">
        <v>-2324046.27</v>
      </c>
      <c r="Q192" s="30">
        <v>696960</v>
      </c>
      <c r="R192" s="30">
        <v>35542</v>
      </c>
      <c r="S192" s="30" t="s">
        <v>33</v>
      </c>
      <c r="T192" t="s">
        <v>33</v>
      </c>
      <c r="U192" s="31" t="s">
        <v>33</v>
      </c>
      <c r="V192" t="s">
        <v>33</v>
      </c>
      <c r="Y192" t="e">
        <f>VLOOKUP(A192,[2]!PRGX[[#All],[Proveedor]],1,FALSE)</f>
        <v>#REF!</v>
      </c>
    </row>
    <row r="193" spans="1:26" x14ac:dyDescent="0.25">
      <c r="A193" s="25">
        <v>24578</v>
      </c>
      <c r="B193" s="25" t="s">
        <v>237</v>
      </c>
      <c r="C193" s="26">
        <v>19296</v>
      </c>
      <c r="D193" s="27">
        <v>813615485.74000001</v>
      </c>
      <c r="E193" s="27">
        <v>349219989.99000001</v>
      </c>
      <c r="F193" s="27">
        <v>464395495.75</v>
      </c>
      <c r="G193" s="27">
        <f>VLOOKUP(A193,'[1]saldos al 26May26'!$C$2:$I$1010,7,FALSE)</f>
        <v>-148284966.81</v>
      </c>
      <c r="H193" s="27"/>
      <c r="I193" s="28" t="s">
        <v>27</v>
      </c>
      <c r="J193" s="29"/>
      <c r="K193" s="25" t="s">
        <v>29</v>
      </c>
      <c r="L193" s="25" t="s">
        <v>30</v>
      </c>
      <c r="M193" s="25" t="s">
        <v>59</v>
      </c>
      <c r="N193" s="25"/>
      <c r="O193" t="s">
        <v>70</v>
      </c>
      <c r="P193" s="32">
        <v>-272111.13</v>
      </c>
      <c r="Q193" s="30">
        <v>0</v>
      </c>
      <c r="R193" s="30"/>
      <c r="S193" s="30" t="s">
        <v>33</v>
      </c>
      <c r="T193" t="s">
        <v>33</v>
      </c>
      <c r="U193" s="31" t="s">
        <v>33</v>
      </c>
      <c r="V193" t="s">
        <v>33</v>
      </c>
      <c r="Y193" t="e">
        <f>VLOOKUP(A193,[2]!PRGX[[#All],[Proveedor]],1,FALSE)</f>
        <v>#REF!</v>
      </c>
      <c r="Z193">
        <v>24578</v>
      </c>
    </row>
    <row r="194" spans="1:26" x14ac:dyDescent="0.25">
      <c r="A194" s="25">
        <v>312231</v>
      </c>
      <c r="B194" s="25" t="s">
        <v>238</v>
      </c>
      <c r="C194" s="26">
        <v>66379</v>
      </c>
      <c r="D194" s="27">
        <v>807886167.01999998</v>
      </c>
      <c r="E194" s="27">
        <v>681833200.64999998</v>
      </c>
      <c r="F194" s="27">
        <v>126052966.37</v>
      </c>
      <c r="G194" s="27">
        <f>VLOOKUP(A194,'[1]saldos al 26May26'!$C$2:$I$1010,7,FALSE)</f>
        <v>-9223519</v>
      </c>
      <c r="H194" s="27"/>
      <c r="I194" s="28"/>
      <c r="J194" s="29"/>
      <c r="K194" s="25" t="s">
        <v>29</v>
      </c>
      <c r="L194" s="25" t="s">
        <v>30</v>
      </c>
      <c r="M194" s="25" t="s">
        <v>59</v>
      </c>
      <c r="N194" s="25"/>
      <c r="O194" t="s">
        <v>87</v>
      </c>
      <c r="P194" s="30">
        <v>6527825.5399999991</v>
      </c>
      <c r="Q194" s="30">
        <v>2880504.36</v>
      </c>
      <c r="R194" s="30"/>
      <c r="S194" s="30" t="s">
        <v>63</v>
      </c>
      <c r="T194" t="s">
        <v>33</v>
      </c>
      <c r="U194" s="31" t="s">
        <v>33</v>
      </c>
      <c r="V194" t="s">
        <v>33</v>
      </c>
      <c r="Y194" t="e">
        <f>VLOOKUP(A194,[2]!PRGX[[#All],[Proveedor]],1,FALSE)</f>
        <v>#REF!</v>
      </c>
    </row>
    <row r="195" spans="1:26" x14ac:dyDescent="0.25">
      <c r="A195" s="25">
        <v>66712</v>
      </c>
      <c r="B195" s="25" t="s">
        <v>239</v>
      </c>
      <c r="C195" s="26">
        <v>32306</v>
      </c>
      <c r="D195" s="27">
        <v>807454524.79159999</v>
      </c>
      <c r="E195" s="27">
        <v>663932670.27530003</v>
      </c>
      <c r="F195" s="27">
        <v>143521854.51629999</v>
      </c>
      <c r="G195" s="27">
        <f>VLOOKUP(A195,'[1]saldos al 26May26'!$C$2:$I$1010,7,FALSE)</f>
        <v>-10040759.08</v>
      </c>
      <c r="H195" s="27"/>
      <c r="I195" s="28" t="s">
        <v>27</v>
      </c>
      <c r="J195" s="29"/>
      <c r="K195" s="25" t="s">
        <v>29</v>
      </c>
      <c r="L195" s="25" t="s">
        <v>30</v>
      </c>
      <c r="M195" s="25" t="s">
        <v>50</v>
      </c>
      <c r="N195" s="25"/>
      <c r="O195" t="s">
        <v>36</v>
      </c>
      <c r="P195" s="32">
        <v>-9208420.3399999999</v>
      </c>
      <c r="Q195" s="30">
        <v>1957190.43</v>
      </c>
      <c r="R195" s="30">
        <v>431194.71</v>
      </c>
      <c r="S195" s="30" t="s">
        <v>33</v>
      </c>
      <c r="T195" t="s">
        <v>33</v>
      </c>
      <c r="U195" s="31" t="e">
        <v>#N/A</v>
      </c>
      <c r="V195" t="s">
        <v>34</v>
      </c>
      <c r="Y195" t="e">
        <f>VLOOKUP(A195,[2]!PRGX[[#All],[Proveedor]],1,FALSE)</f>
        <v>#REF!</v>
      </c>
      <c r="Z195">
        <v>66712</v>
      </c>
    </row>
    <row r="196" spans="1:26" x14ac:dyDescent="0.25">
      <c r="A196" s="25">
        <v>83428</v>
      </c>
      <c r="B196" s="25" t="s">
        <v>240</v>
      </c>
      <c r="C196" s="26">
        <v>38193</v>
      </c>
      <c r="D196" s="27">
        <v>803299532.64100003</v>
      </c>
      <c r="E196" s="27">
        <v>711554890.06099999</v>
      </c>
      <c r="F196" s="27">
        <v>91744642.579999998</v>
      </c>
      <c r="G196" s="27">
        <f>VLOOKUP(A196,'[1]saldos al 26May26'!$C$2:$I$1010,7,FALSE)</f>
        <v>-4212827.38</v>
      </c>
      <c r="H196" s="27"/>
      <c r="I196" s="28"/>
      <c r="J196" s="29"/>
      <c r="K196" s="25" t="s">
        <v>40</v>
      </c>
      <c r="L196" s="25" t="s">
        <v>30</v>
      </c>
      <c r="M196" s="25" t="s">
        <v>59</v>
      </c>
      <c r="N196" s="25" t="s">
        <v>80</v>
      </c>
      <c r="O196" t="s">
        <v>80</v>
      </c>
      <c r="P196" s="32">
        <v>-193155.80000000008</v>
      </c>
      <c r="Q196" s="30">
        <v>453834.76</v>
      </c>
      <c r="R196" s="30"/>
      <c r="S196" s="30" t="s">
        <v>33</v>
      </c>
      <c r="T196" s="57" t="s">
        <v>33</v>
      </c>
      <c r="U196" s="31" t="s">
        <v>33</v>
      </c>
      <c r="V196" t="s">
        <v>33</v>
      </c>
      <c r="Y196" t="e">
        <f>VLOOKUP(A196,[2]!PRGX[[#All],[Proveedor]],1,FALSE)</f>
        <v>#REF!</v>
      </c>
    </row>
    <row r="197" spans="1:26" x14ac:dyDescent="0.25">
      <c r="A197" s="25">
        <v>26831</v>
      </c>
      <c r="B197" s="25" t="s">
        <v>201</v>
      </c>
      <c r="C197" s="26">
        <v>17024</v>
      </c>
      <c r="D197" s="27">
        <v>801786380.40359998</v>
      </c>
      <c r="E197" s="27">
        <v>701528072.10360003</v>
      </c>
      <c r="F197" s="27">
        <v>100258308.3</v>
      </c>
      <c r="G197" s="27">
        <f>VLOOKUP(A197,'[1]saldos al 26May26'!$C$2:$I$1010,7,FALSE)</f>
        <v>-6808569.96</v>
      </c>
      <c r="H197" s="27"/>
      <c r="I197" s="28"/>
      <c r="J197" s="29"/>
      <c r="K197" s="25" t="s">
        <v>29</v>
      </c>
      <c r="L197" s="25" t="s">
        <v>30</v>
      </c>
      <c r="M197" s="25" t="s">
        <v>50</v>
      </c>
      <c r="N197" s="25"/>
      <c r="O197" t="s">
        <v>70</v>
      </c>
      <c r="P197" s="32">
        <v>-2508485.4700000002</v>
      </c>
      <c r="Q197" s="30">
        <v>497881.94</v>
      </c>
      <c r="R197" s="30">
        <v>221473.69999999998</v>
      </c>
      <c r="S197" s="30" t="s">
        <v>63</v>
      </c>
      <c r="T197" t="s">
        <v>33</v>
      </c>
      <c r="U197" s="31">
        <v>0</v>
      </c>
      <c r="V197" t="s">
        <v>42</v>
      </c>
      <c r="Y197" t="e">
        <f>VLOOKUP(A197,[2]!PRGX[[#All],[Proveedor]],1,FALSE)</f>
        <v>#REF!</v>
      </c>
    </row>
    <row r="198" spans="1:26" x14ac:dyDescent="0.25">
      <c r="A198" s="25">
        <v>50872</v>
      </c>
      <c r="B198" s="25" t="s">
        <v>241</v>
      </c>
      <c r="C198" s="26">
        <v>7557</v>
      </c>
      <c r="D198" s="27">
        <v>800756698.79999995</v>
      </c>
      <c r="E198" s="27">
        <v>713423691.61999989</v>
      </c>
      <c r="F198" s="27">
        <v>87333007.180000007</v>
      </c>
      <c r="G198" s="27">
        <f>VLOOKUP(A198,'[1]saldos al 26May26'!$C$2:$I$1010,7,FALSE)</f>
        <v>-11071471.17</v>
      </c>
      <c r="H198" s="27"/>
      <c r="I198" s="28"/>
      <c r="J198" s="29"/>
      <c r="K198" s="25" t="s">
        <v>40</v>
      </c>
      <c r="L198" s="25" t="s">
        <v>30</v>
      </c>
      <c r="M198" s="25" t="s">
        <v>59</v>
      </c>
      <c r="N198" s="25" t="s">
        <v>96</v>
      </c>
      <c r="O198" t="s">
        <v>96</v>
      </c>
      <c r="P198" s="32">
        <v>-4012442.0599999996</v>
      </c>
      <c r="Q198" s="30">
        <v>560180.42000000004</v>
      </c>
      <c r="R198" s="30"/>
      <c r="S198" s="30">
        <v>0</v>
      </c>
      <c r="T198" t="s">
        <v>42</v>
      </c>
      <c r="U198" s="31" t="e">
        <v>#N/A</v>
      </c>
      <c r="V198" t="s">
        <v>34</v>
      </c>
      <c r="Y198" t="e">
        <f>VLOOKUP(A198,[2]!PRGX[[#All],[Proveedor]],1,FALSE)</f>
        <v>#REF!</v>
      </c>
    </row>
    <row r="199" spans="1:26" x14ac:dyDescent="0.25">
      <c r="A199" s="25">
        <v>380774</v>
      </c>
      <c r="B199" s="25" t="s">
        <v>242</v>
      </c>
      <c r="C199" s="26">
        <v>22849</v>
      </c>
      <c r="D199" s="27">
        <v>800435174.44200003</v>
      </c>
      <c r="E199" s="27">
        <v>731771529.40200007</v>
      </c>
      <c r="F199" s="27">
        <v>68663645.040000007</v>
      </c>
      <c r="G199" s="27">
        <f>VLOOKUP(A199,'[1]saldos al 26May26'!$C$2:$I$1010,7,FALSE)</f>
        <v>-431217.85</v>
      </c>
      <c r="H199" s="27"/>
      <c r="I199" s="28"/>
      <c r="J199" s="29"/>
      <c r="K199" s="25" t="s">
        <v>29</v>
      </c>
      <c r="L199" s="25" t="s">
        <v>30</v>
      </c>
      <c r="M199" s="25" t="s">
        <v>59</v>
      </c>
      <c r="N199" s="25"/>
      <c r="O199" t="s">
        <v>47</v>
      </c>
      <c r="P199" s="30">
        <v>1258417.81</v>
      </c>
      <c r="Q199" s="30">
        <v>1892394</v>
      </c>
      <c r="R199" s="30"/>
      <c r="S199" s="30" t="s">
        <v>33</v>
      </c>
      <c r="T199" t="s">
        <v>33</v>
      </c>
      <c r="U199" s="31" t="s">
        <v>33</v>
      </c>
      <c r="V199" t="s">
        <v>33</v>
      </c>
      <c r="Y199" t="e">
        <f>VLOOKUP(A199,[2]!PRGX[[#All],[Proveedor]],1,FALSE)</f>
        <v>#REF!</v>
      </c>
    </row>
    <row r="200" spans="1:26" x14ac:dyDescent="0.25">
      <c r="A200" s="25">
        <v>25133</v>
      </c>
      <c r="B200" s="25" t="s">
        <v>243</v>
      </c>
      <c r="C200" s="26">
        <v>4230</v>
      </c>
      <c r="D200" s="27">
        <v>793464226.36000001</v>
      </c>
      <c r="E200" s="27">
        <v>652632327.75999999</v>
      </c>
      <c r="F200" s="27">
        <v>140831898.59999999</v>
      </c>
      <c r="G200" s="27">
        <f>VLOOKUP(A200,'[1]saldos al 26May26'!$C$2:$I$1010,7,FALSE)</f>
        <v>-1856827.17</v>
      </c>
      <c r="H200" s="27"/>
      <c r="I200" s="28" t="s">
        <v>27</v>
      </c>
      <c r="J200" s="29"/>
      <c r="K200" s="25" t="s">
        <v>29</v>
      </c>
      <c r="L200" s="25" t="s">
        <v>30</v>
      </c>
      <c r="M200" s="25" t="s">
        <v>50</v>
      </c>
      <c r="N200" s="25"/>
      <c r="O200" t="s">
        <v>32</v>
      </c>
      <c r="P200" s="32">
        <v>-9555794.8300000001</v>
      </c>
      <c r="Q200" s="30">
        <v>0</v>
      </c>
      <c r="R200" s="30">
        <v>9000000</v>
      </c>
      <c r="S200" s="30" t="s">
        <v>33</v>
      </c>
      <c r="T200" t="s">
        <v>33</v>
      </c>
      <c r="U200" s="31" t="e">
        <v>#N/A</v>
      </c>
      <c r="V200" t="s">
        <v>34</v>
      </c>
      <c r="Y200" t="e">
        <f>VLOOKUP(A200,[2]!PRGX[[#All],[Proveedor]],1,FALSE)</f>
        <v>#REF!</v>
      </c>
      <c r="Z200">
        <v>25133</v>
      </c>
    </row>
    <row r="201" spans="1:26" x14ac:dyDescent="0.25">
      <c r="A201" s="25">
        <v>229831</v>
      </c>
      <c r="B201" s="25" t="s">
        <v>244</v>
      </c>
      <c r="C201" s="26">
        <v>74123</v>
      </c>
      <c r="D201" s="27">
        <v>788853665.99000001</v>
      </c>
      <c r="E201" s="27">
        <v>644503894.07000005</v>
      </c>
      <c r="F201" s="27">
        <v>144349771.91999999</v>
      </c>
      <c r="G201" s="27">
        <f>VLOOKUP(A201,'[1]saldos al 26May26'!$C$2:$I$1010,7,FALSE)</f>
        <v>-16246370.74</v>
      </c>
      <c r="H201" s="27"/>
      <c r="I201" s="28" t="s">
        <v>27</v>
      </c>
      <c r="J201" s="29"/>
      <c r="K201" s="25" t="s">
        <v>29</v>
      </c>
      <c r="L201" s="25" t="s">
        <v>30</v>
      </c>
      <c r="M201" s="25" t="s">
        <v>50</v>
      </c>
      <c r="N201" s="25"/>
      <c r="O201" t="s">
        <v>36</v>
      </c>
      <c r="P201" s="30">
        <v>202652.86999999994</v>
      </c>
      <c r="Q201" s="30">
        <v>0</v>
      </c>
      <c r="R201" s="30">
        <v>100000</v>
      </c>
      <c r="S201" s="30" t="s">
        <v>33</v>
      </c>
      <c r="T201" t="s">
        <v>33</v>
      </c>
      <c r="U201" s="31" t="e">
        <v>#N/A</v>
      </c>
      <c r="V201" t="s">
        <v>34</v>
      </c>
      <c r="Y201" t="e">
        <f>VLOOKUP(A201,[2]!PRGX[[#All],[Proveedor]],1,FALSE)</f>
        <v>#REF!</v>
      </c>
      <c r="Z201">
        <v>229831</v>
      </c>
    </row>
    <row r="202" spans="1:26" x14ac:dyDescent="0.25">
      <c r="A202" s="25">
        <v>63388</v>
      </c>
      <c r="B202" s="25" t="s">
        <v>245</v>
      </c>
      <c r="C202" s="26">
        <v>8343</v>
      </c>
      <c r="D202" s="27">
        <v>788669339.39549994</v>
      </c>
      <c r="E202" s="27">
        <v>734253089.54149997</v>
      </c>
      <c r="F202" s="27">
        <v>54416249.854000002</v>
      </c>
      <c r="G202" s="27">
        <f>VLOOKUP(A202,'[1]saldos al 26May26'!$C$2:$I$1010,7,FALSE)</f>
        <v>-5679522.2300000004</v>
      </c>
      <c r="H202" s="27"/>
      <c r="I202" s="28"/>
      <c r="J202" s="29">
        <v>96289.701237723013</v>
      </c>
      <c r="K202" s="25" t="s">
        <v>40</v>
      </c>
      <c r="L202" s="25" t="s">
        <v>30</v>
      </c>
      <c r="M202" s="25" t="s">
        <v>31</v>
      </c>
      <c r="N202" s="25" t="s">
        <v>41</v>
      </c>
      <c r="O202" t="s">
        <v>41</v>
      </c>
      <c r="P202" s="32">
        <v>-999564.25</v>
      </c>
      <c r="Q202" s="30">
        <v>1993.7999999999993</v>
      </c>
      <c r="R202" s="30"/>
      <c r="S202" s="30">
        <v>0</v>
      </c>
      <c r="T202" t="s">
        <v>33</v>
      </c>
      <c r="U202" s="31" t="e">
        <v>#N/A</v>
      </c>
      <c r="V202" t="s">
        <v>34</v>
      </c>
      <c r="Y202" t="e">
        <f>VLOOKUP(A202,[2]!PRGX[[#All],[Proveedor]],1,FALSE)</f>
        <v>#REF!</v>
      </c>
    </row>
    <row r="203" spans="1:26" x14ac:dyDescent="0.25">
      <c r="A203" s="25">
        <v>70490</v>
      </c>
      <c r="B203" s="25" t="s">
        <v>246</v>
      </c>
      <c r="C203" s="26">
        <v>116924</v>
      </c>
      <c r="D203" s="27">
        <v>784380804.273</v>
      </c>
      <c r="E203" s="27">
        <v>724970517.68299997</v>
      </c>
      <c r="F203" s="27">
        <v>59410286.590000004</v>
      </c>
      <c r="G203" s="27">
        <f>VLOOKUP(A203,'[1]saldos al 26May26'!$C$2:$I$1010,7,FALSE)</f>
        <v>-2838450.32</v>
      </c>
      <c r="H203" s="27"/>
      <c r="I203" s="28"/>
      <c r="J203" s="29"/>
      <c r="K203" s="25" t="s">
        <v>29</v>
      </c>
      <c r="L203" s="25" t="s">
        <v>30</v>
      </c>
      <c r="M203" s="25" t="s">
        <v>59</v>
      </c>
      <c r="N203" s="25"/>
      <c r="O203" t="s">
        <v>47</v>
      </c>
      <c r="P203" s="30">
        <v>4972592.3900000006</v>
      </c>
      <c r="Q203" s="30">
        <v>1482541.75</v>
      </c>
      <c r="R203" s="30"/>
      <c r="S203" s="30" t="s">
        <v>33</v>
      </c>
      <c r="T203" t="s">
        <v>33</v>
      </c>
      <c r="U203" s="31" t="s">
        <v>33</v>
      </c>
      <c r="V203" t="s">
        <v>33</v>
      </c>
      <c r="Y203" t="e">
        <f>VLOOKUP(A203,[2]!PRGX[[#All],[Proveedor]],1,FALSE)</f>
        <v>#REF!</v>
      </c>
    </row>
    <row r="204" spans="1:26" x14ac:dyDescent="0.25">
      <c r="A204" s="25">
        <v>23864</v>
      </c>
      <c r="B204" s="25" t="s">
        <v>145</v>
      </c>
      <c r="C204" s="26">
        <v>5839</v>
      </c>
      <c r="D204" s="27">
        <v>762761926.21000004</v>
      </c>
      <c r="E204" s="27">
        <v>647080469.13</v>
      </c>
      <c r="F204" s="27">
        <v>115681457.08</v>
      </c>
      <c r="G204" s="27">
        <f>VLOOKUP(A204,'[1]saldos al 26May26'!$C$2:$I$1010,7,FALSE)</f>
        <v>-7547325.6900000004</v>
      </c>
      <c r="H204" s="27"/>
      <c r="I204" s="28" t="s">
        <v>27</v>
      </c>
      <c r="J204" s="29"/>
      <c r="K204" s="25" t="s">
        <v>29</v>
      </c>
      <c r="L204" s="25" t="s">
        <v>30</v>
      </c>
      <c r="M204" s="25" t="s">
        <v>59</v>
      </c>
      <c r="N204" s="25"/>
      <c r="O204" t="s">
        <v>80</v>
      </c>
      <c r="P204" s="32">
        <v>-1292850.8099999998</v>
      </c>
      <c r="Q204" s="30">
        <v>0</v>
      </c>
      <c r="R204" s="30"/>
      <c r="S204" s="30" t="s">
        <v>33</v>
      </c>
      <c r="T204" t="s">
        <v>33</v>
      </c>
      <c r="U204" s="31" t="s">
        <v>33</v>
      </c>
      <c r="V204" t="s">
        <v>33</v>
      </c>
      <c r="Y204" t="e">
        <f>VLOOKUP(A204,[2]!PRGX[[#All],[Proveedor]],1,FALSE)</f>
        <v>#REF!</v>
      </c>
      <c r="Z204">
        <v>23864</v>
      </c>
    </row>
    <row r="205" spans="1:26" x14ac:dyDescent="0.25">
      <c r="A205" s="25">
        <v>22646</v>
      </c>
      <c r="B205" s="25" t="s">
        <v>247</v>
      </c>
      <c r="C205" s="26">
        <v>139375</v>
      </c>
      <c r="D205" s="27">
        <v>759984864.02999997</v>
      </c>
      <c r="E205" s="27">
        <v>642163986.13</v>
      </c>
      <c r="F205" s="27">
        <v>117820877.90000001</v>
      </c>
      <c r="G205" s="27">
        <f>VLOOKUP(A205,'[1]saldos al 26May26'!$C$2:$I$1010,7,FALSE)</f>
        <v>-44068506.210000001</v>
      </c>
      <c r="H205" s="27"/>
      <c r="I205" s="28" t="s">
        <v>27</v>
      </c>
      <c r="J205" s="29"/>
      <c r="K205" s="25" t="s">
        <v>29</v>
      </c>
      <c r="L205" s="25" t="s">
        <v>30</v>
      </c>
      <c r="M205" s="25" t="s">
        <v>50</v>
      </c>
      <c r="N205" s="25"/>
      <c r="O205" t="s">
        <v>47</v>
      </c>
      <c r="P205" s="32">
        <v>-12158604.26</v>
      </c>
      <c r="Q205" s="30">
        <v>1964917</v>
      </c>
      <c r="R205" s="30"/>
      <c r="S205" s="30" t="s">
        <v>33</v>
      </c>
      <c r="T205" t="s">
        <v>33</v>
      </c>
      <c r="U205" s="31" t="e">
        <v>#N/A</v>
      </c>
      <c r="V205" t="s">
        <v>34</v>
      </c>
      <c r="Y205" t="e">
        <f>VLOOKUP(A205,[2]!PRGX[[#All],[Proveedor]],1,FALSE)</f>
        <v>#REF!</v>
      </c>
      <c r="Z205">
        <v>22646</v>
      </c>
    </row>
    <row r="206" spans="1:26" x14ac:dyDescent="0.25">
      <c r="A206" s="25">
        <v>91058</v>
      </c>
      <c r="B206" s="25" t="s">
        <v>248</v>
      </c>
      <c r="C206" s="26">
        <v>321062</v>
      </c>
      <c r="D206" s="27">
        <v>756938355.9483</v>
      </c>
      <c r="E206" s="27">
        <v>706405217.29429996</v>
      </c>
      <c r="F206" s="27">
        <v>50533138.653999999</v>
      </c>
      <c r="G206" s="27">
        <f>VLOOKUP(A206,'[1]saldos al 26May26'!$C$2:$I$1010,7,FALSE)</f>
        <v>-5351501.87</v>
      </c>
      <c r="H206" s="27"/>
      <c r="I206" s="28"/>
      <c r="J206" s="29"/>
      <c r="K206" s="25" t="s">
        <v>29</v>
      </c>
      <c r="L206" s="25" t="s">
        <v>30</v>
      </c>
      <c r="M206" s="25" t="s">
        <v>59</v>
      </c>
      <c r="N206" s="25"/>
      <c r="O206" t="s">
        <v>80</v>
      </c>
      <c r="P206" s="32">
        <v>-170484.03999999998</v>
      </c>
      <c r="Q206" s="30">
        <v>0</v>
      </c>
      <c r="R206" s="30"/>
      <c r="S206" s="30" t="s">
        <v>33</v>
      </c>
      <c r="T206" t="s">
        <v>33</v>
      </c>
      <c r="U206" s="31" t="e">
        <v>#N/A</v>
      </c>
      <c r="V206" t="s">
        <v>34</v>
      </c>
      <c r="Y206" t="e">
        <f>VLOOKUP(A206,[2]!PRGX[[#All],[Proveedor]],1,FALSE)</f>
        <v>#REF!</v>
      </c>
    </row>
    <row r="207" spans="1:26" x14ac:dyDescent="0.25">
      <c r="A207" s="25">
        <v>79681</v>
      </c>
      <c r="B207" s="25" t="s">
        <v>249</v>
      </c>
      <c r="C207" s="26">
        <v>28503</v>
      </c>
      <c r="D207" s="27">
        <v>754910192.46000004</v>
      </c>
      <c r="E207" s="27">
        <v>627997483.87</v>
      </c>
      <c r="F207" s="27">
        <v>126912708.59</v>
      </c>
      <c r="G207" s="27">
        <f>VLOOKUP(A207,'[1]saldos al 26May26'!$C$2:$I$1010,7,FALSE)</f>
        <v>-77413463.359999999</v>
      </c>
      <c r="H207" s="27"/>
      <c r="I207" s="28" t="s">
        <v>27</v>
      </c>
      <c r="J207" s="29"/>
      <c r="K207" s="25" t="s">
        <v>29</v>
      </c>
      <c r="L207" s="25" t="s">
        <v>30</v>
      </c>
      <c r="M207" s="25" t="s">
        <v>31</v>
      </c>
      <c r="N207" s="25"/>
      <c r="O207" t="s">
        <v>87</v>
      </c>
      <c r="P207" s="32">
        <v>-693056.94000000006</v>
      </c>
      <c r="Q207" s="30">
        <v>93974.23</v>
      </c>
      <c r="R207" s="30">
        <v>80328.45</v>
      </c>
      <c r="S207" s="30">
        <v>0</v>
      </c>
      <c r="T207" t="s">
        <v>33</v>
      </c>
      <c r="U207" s="31">
        <v>0</v>
      </c>
      <c r="V207" t="s">
        <v>42</v>
      </c>
      <c r="Y207" t="e">
        <f>VLOOKUP(A207,[2]!PRGX[[#All],[Proveedor]],1,FALSE)</f>
        <v>#REF!</v>
      </c>
      <c r="Z207">
        <v>79681</v>
      </c>
    </row>
    <row r="208" spans="1:26" x14ac:dyDescent="0.25">
      <c r="A208" s="25">
        <v>381129</v>
      </c>
      <c r="B208" s="25" t="s">
        <v>250</v>
      </c>
      <c r="C208" s="26">
        <v>7889</v>
      </c>
      <c r="D208" s="27">
        <v>749108746.60300004</v>
      </c>
      <c r="E208" s="27">
        <v>675956535.81100011</v>
      </c>
      <c r="F208" s="27">
        <v>73152210.791999996</v>
      </c>
      <c r="G208" s="27">
        <f>VLOOKUP(A208,'[1]saldos al 26May26'!$C$2:$I$1010,7,FALSE)</f>
        <v>-9509698.0399999991</v>
      </c>
      <c r="H208" s="27"/>
      <c r="I208" s="28" t="s">
        <v>27</v>
      </c>
      <c r="J208" s="29"/>
      <c r="K208" s="25" t="s">
        <v>29</v>
      </c>
      <c r="L208" s="25" t="s">
        <v>30</v>
      </c>
      <c r="M208" s="25" t="s">
        <v>31</v>
      </c>
      <c r="N208" s="25"/>
      <c r="O208" t="s">
        <v>32</v>
      </c>
      <c r="P208" s="32">
        <v>-1271061.27</v>
      </c>
      <c r="Q208" s="30">
        <v>96640.75</v>
      </c>
      <c r="R208" s="30"/>
      <c r="S208" s="30" t="s">
        <v>33</v>
      </c>
      <c r="T208" t="s">
        <v>33</v>
      </c>
      <c r="U208" s="31" t="e">
        <v>#N/A</v>
      </c>
      <c r="V208" t="s">
        <v>34</v>
      </c>
      <c r="Y208" t="e">
        <f>VLOOKUP(A208,[2]!PRGX[[#All],[Proveedor]],1,FALSE)</f>
        <v>#REF!</v>
      </c>
      <c r="Z208">
        <v>381129</v>
      </c>
    </row>
    <row r="209" spans="1:26" x14ac:dyDescent="0.25">
      <c r="A209" s="52">
        <v>20859</v>
      </c>
      <c r="B209" s="52" t="s">
        <v>251</v>
      </c>
      <c r="C209" s="53">
        <v>28950</v>
      </c>
      <c r="D209" s="54">
        <v>177349575.41</v>
      </c>
      <c r="E209" s="27">
        <v>134370856.76999998</v>
      </c>
      <c r="F209" s="27">
        <v>42978718.640000001</v>
      </c>
      <c r="G209" s="54">
        <f>VLOOKUP(A209,'[1]saldos al 26May26'!$C$2:$I$1010,7,FALSE)</f>
        <v>-4299437.71</v>
      </c>
      <c r="H209" s="54"/>
      <c r="I209" s="55"/>
      <c r="J209" s="56">
        <v>476753.03769929451</v>
      </c>
      <c r="K209" s="52" t="s">
        <v>40</v>
      </c>
      <c r="L209" s="52" t="s">
        <v>30</v>
      </c>
      <c r="M209" s="52" t="s">
        <v>50</v>
      </c>
      <c r="N209" s="52" t="s">
        <v>56</v>
      </c>
      <c r="O209" s="57" t="s">
        <v>56</v>
      </c>
      <c r="P209" s="59">
        <v>-1047636.02</v>
      </c>
      <c r="Q209" s="58">
        <v>0</v>
      </c>
      <c r="R209" s="30">
        <v>206355</v>
      </c>
      <c r="S209" s="30" t="e">
        <v>#N/A</v>
      </c>
      <c r="T209" s="57" t="s">
        <v>34</v>
      </c>
      <c r="U209" s="31">
        <v>0</v>
      </c>
      <c r="V209" s="57" t="s">
        <v>42</v>
      </c>
      <c r="X209" t="s">
        <v>43</v>
      </c>
      <c r="Y209" t="e">
        <f>VLOOKUP(A209,[2]!PRGX[[#All],[Proveedor]],1,FALSE)</f>
        <v>#REF!</v>
      </c>
    </row>
    <row r="210" spans="1:26" x14ac:dyDescent="0.25">
      <c r="A210" s="25">
        <v>741</v>
      </c>
      <c r="B210" s="62" t="s">
        <v>252</v>
      </c>
      <c r="C210" s="26">
        <v>59280</v>
      </c>
      <c r="D210" s="27">
        <v>745153110.03359997</v>
      </c>
      <c r="E210" s="27">
        <v>687706559.25959992</v>
      </c>
      <c r="F210" s="27">
        <v>57446550.773999996</v>
      </c>
      <c r="G210" s="27">
        <f>VLOOKUP(A210,'[1]saldos al 26May26'!$C$2:$I$1010,7,FALSE)</f>
        <v>-889872.41</v>
      </c>
      <c r="H210" s="27"/>
      <c r="I210" s="28" t="s">
        <v>27</v>
      </c>
      <c r="J210" s="29"/>
      <c r="K210" s="25" t="s">
        <v>40</v>
      </c>
      <c r="L210" s="25" t="s">
        <v>30</v>
      </c>
      <c r="M210" s="25" t="s">
        <v>31</v>
      </c>
      <c r="N210" s="25" t="s">
        <v>51</v>
      </c>
      <c r="O210" t="s">
        <v>51</v>
      </c>
      <c r="P210" s="30">
        <v>8444365.5199999996</v>
      </c>
      <c r="Q210" s="30">
        <v>832640.16</v>
      </c>
      <c r="R210" s="30"/>
      <c r="S210" s="30" t="s">
        <v>33</v>
      </c>
      <c r="T210" t="s">
        <v>42</v>
      </c>
      <c r="U210" s="31" t="e">
        <v>#N/A</v>
      </c>
      <c r="V210" t="s">
        <v>34</v>
      </c>
      <c r="X210" t="s">
        <v>43</v>
      </c>
      <c r="Y210" t="e">
        <f>VLOOKUP(A210,[2]!PRGX[[#All],[Proveedor]],1,FALSE)</f>
        <v>#REF!</v>
      </c>
      <c r="Z210">
        <v>741</v>
      </c>
    </row>
    <row r="211" spans="1:26" x14ac:dyDescent="0.25">
      <c r="A211" s="25">
        <v>67900</v>
      </c>
      <c r="B211" s="25" t="s">
        <v>253</v>
      </c>
      <c r="C211" s="26">
        <v>5110</v>
      </c>
      <c r="D211" s="27">
        <v>741756875.18700004</v>
      </c>
      <c r="E211" s="27">
        <v>648468906.88199997</v>
      </c>
      <c r="F211" s="27">
        <v>93287968.305000007</v>
      </c>
      <c r="G211" s="27">
        <f>VLOOKUP(A211,'[1]saldos al 26May26'!$C$2:$I$1010,7,FALSE)</f>
        <v>-6854688.1200000001</v>
      </c>
      <c r="H211" s="27"/>
      <c r="I211" s="28"/>
      <c r="J211" s="29"/>
      <c r="K211" s="25" t="s">
        <v>29</v>
      </c>
      <c r="L211" s="25" t="s">
        <v>30</v>
      </c>
      <c r="M211" s="25" t="s">
        <v>59</v>
      </c>
      <c r="N211" s="25"/>
      <c r="O211" t="s">
        <v>87</v>
      </c>
      <c r="P211" s="30">
        <v>406231.42</v>
      </c>
      <c r="Q211" s="30">
        <v>1449641.75</v>
      </c>
      <c r="R211" s="30"/>
      <c r="S211" s="30" t="s">
        <v>33</v>
      </c>
      <c r="T211" t="s">
        <v>33</v>
      </c>
      <c r="U211" s="31">
        <v>0</v>
      </c>
      <c r="V211" t="s">
        <v>34</v>
      </c>
      <c r="Y211" t="e">
        <f>VLOOKUP(A211,[2]!PRGX[[#All],[Proveedor]],1,FALSE)</f>
        <v>#REF!</v>
      </c>
    </row>
    <row r="212" spans="1:26" x14ac:dyDescent="0.25">
      <c r="A212" s="25">
        <v>9506</v>
      </c>
      <c r="B212" s="25" t="s">
        <v>254</v>
      </c>
      <c r="C212" s="26">
        <v>30927</v>
      </c>
      <c r="D212" s="27">
        <v>740604120.51999998</v>
      </c>
      <c r="E212" s="27">
        <v>586038426.74000001</v>
      </c>
      <c r="F212" s="27">
        <v>154565693.78</v>
      </c>
      <c r="G212" s="27">
        <f>VLOOKUP(A212,'[1]saldos al 26May26'!$C$2:$I$1010,7,FALSE)</f>
        <v>-11418055.970000001</v>
      </c>
      <c r="H212" s="27"/>
      <c r="I212" s="28" t="s">
        <v>27</v>
      </c>
      <c r="J212" s="29"/>
      <c r="K212" s="25" t="s">
        <v>29</v>
      </c>
      <c r="L212" s="25" t="s">
        <v>30</v>
      </c>
      <c r="M212" s="25" t="s">
        <v>50</v>
      </c>
      <c r="N212" s="25"/>
      <c r="O212" t="s">
        <v>70</v>
      </c>
      <c r="P212" s="32">
        <v>-3888008.64</v>
      </c>
      <c r="Q212" s="30">
        <v>11071.5</v>
      </c>
      <c r="R212" s="30">
        <v>730569.01</v>
      </c>
      <c r="S212" s="30" t="s">
        <v>63</v>
      </c>
      <c r="T212" t="s">
        <v>33</v>
      </c>
      <c r="U212" s="31">
        <v>0</v>
      </c>
      <c r="V212" t="s">
        <v>42</v>
      </c>
      <c r="Y212" t="e">
        <f>VLOOKUP(A212,[2]!PRGX[[#All],[Proveedor]],1,FALSE)</f>
        <v>#REF!</v>
      </c>
      <c r="Z212">
        <v>9506</v>
      </c>
    </row>
    <row r="213" spans="1:26" x14ac:dyDescent="0.25">
      <c r="A213" s="25">
        <v>21845</v>
      </c>
      <c r="B213" s="25" t="s">
        <v>255</v>
      </c>
      <c r="C213" s="26">
        <v>14108</v>
      </c>
      <c r="D213" s="27">
        <v>734115193.50119996</v>
      </c>
      <c r="E213" s="27">
        <v>482114158.80119997</v>
      </c>
      <c r="F213" s="27">
        <v>252001034.69999999</v>
      </c>
      <c r="G213" s="27">
        <f>VLOOKUP(A213,'[1]saldos al 26May26'!$C$2:$I$1010,7,FALSE)</f>
        <v>-23091795.350000001</v>
      </c>
      <c r="H213" s="27"/>
      <c r="I213" s="28"/>
      <c r="J213" s="29"/>
      <c r="K213" s="25" t="s">
        <v>29</v>
      </c>
      <c r="L213" s="25" t="s">
        <v>30</v>
      </c>
      <c r="M213" s="25" t="s">
        <v>59</v>
      </c>
      <c r="N213" s="25"/>
      <c r="O213" t="s">
        <v>80</v>
      </c>
      <c r="P213" s="30">
        <v>9299546.7100000009</v>
      </c>
      <c r="Q213" s="30">
        <v>4801613.67</v>
      </c>
      <c r="R213" s="30">
        <v>18000</v>
      </c>
      <c r="S213" s="30" t="s">
        <v>63</v>
      </c>
      <c r="T213" t="s">
        <v>33</v>
      </c>
      <c r="U213" s="31" t="s">
        <v>33</v>
      </c>
      <c r="V213" t="s">
        <v>33</v>
      </c>
      <c r="Y213" t="e">
        <f>VLOOKUP(A213,[2]!PRGX[[#All],[Proveedor]],1,FALSE)</f>
        <v>#REF!</v>
      </c>
    </row>
    <row r="214" spans="1:26" x14ac:dyDescent="0.25">
      <c r="A214" s="25">
        <v>453</v>
      </c>
      <c r="B214" s="25" t="s">
        <v>256</v>
      </c>
      <c r="C214" s="26">
        <v>47382</v>
      </c>
      <c r="D214" s="27">
        <v>728955434.45000005</v>
      </c>
      <c r="E214" s="27">
        <v>663172968.68000007</v>
      </c>
      <c r="F214" s="27">
        <v>65782465.770000003</v>
      </c>
      <c r="G214" s="27">
        <f>VLOOKUP(A214,'[1]saldos al 26May26'!$C$2:$I$1010,7,FALSE)</f>
        <v>-54540599.579999998</v>
      </c>
      <c r="H214" s="27"/>
      <c r="I214" s="28"/>
      <c r="J214" s="29"/>
      <c r="K214" s="25" t="s">
        <v>29</v>
      </c>
      <c r="L214" s="25" t="s">
        <v>30</v>
      </c>
      <c r="M214" s="25" t="s">
        <v>55</v>
      </c>
      <c r="N214" s="25"/>
      <c r="O214" t="s">
        <v>38</v>
      </c>
      <c r="P214" s="30">
        <v>4544157.82</v>
      </c>
      <c r="Q214" s="30">
        <v>2227562.58</v>
      </c>
      <c r="R214" s="30">
        <v>2672588</v>
      </c>
      <c r="S214" s="30" t="s">
        <v>33</v>
      </c>
      <c r="T214" t="s">
        <v>33</v>
      </c>
      <c r="U214" s="31" t="e">
        <v>#N/A</v>
      </c>
      <c r="V214" t="s">
        <v>34</v>
      </c>
      <c r="Y214" t="e">
        <f>VLOOKUP(A214,[2]!PRGX[[#All],[Proveedor]],1,FALSE)</f>
        <v>#REF!</v>
      </c>
    </row>
    <row r="215" spans="1:26" x14ac:dyDescent="0.25">
      <c r="A215" s="25">
        <v>21091</v>
      </c>
      <c r="B215" s="25" t="s">
        <v>257</v>
      </c>
      <c r="C215" s="26">
        <v>205116</v>
      </c>
      <c r="D215" s="27">
        <v>728529374.69760001</v>
      </c>
      <c r="E215" s="27">
        <v>694704996.13740003</v>
      </c>
      <c r="F215" s="27">
        <v>33824378.560199998</v>
      </c>
      <c r="G215" s="27">
        <f>VLOOKUP(A215,'[1]saldos al 26May26'!$C$2:$I$1010,7,FALSE)</f>
        <v>-749926.92</v>
      </c>
      <c r="H215" s="27"/>
      <c r="I215" s="28"/>
      <c r="J215" s="29"/>
      <c r="K215" s="25" t="s">
        <v>40</v>
      </c>
      <c r="L215" s="25" t="s">
        <v>30</v>
      </c>
      <c r="M215" s="25" t="s">
        <v>59</v>
      </c>
      <c r="N215" s="25" t="s">
        <v>38</v>
      </c>
      <c r="O215" t="s">
        <v>38</v>
      </c>
      <c r="P215" s="32">
        <v>-43730.44</v>
      </c>
      <c r="Q215" s="30">
        <v>11800.5</v>
      </c>
      <c r="R215" s="30">
        <v>170000</v>
      </c>
      <c r="S215" s="30" t="s">
        <v>33</v>
      </c>
      <c r="T215" t="s">
        <v>33</v>
      </c>
      <c r="U215" s="31" t="e">
        <v>#N/A</v>
      </c>
      <c r="V215" t="s">
        <v>34</v>
      </c>
      <c r="Y215" t="e">
        <f>VLOOKUP(A215,[2]!PRGX[[#All],[Proveedor]],1,FALSE)</f>
        <v>#REF!</v>
      </c>
    </row>
    <row r="216" spans="1:26" x14ac:dyDescent="0.25">
      <c r="A216" s="25">
        <v>9381</v>
      </c>
      <c r="B216" s="25" t="s">
        <v>258</v>
      </c>
      <c r="C216" s="26">
        <v>72990</v>
      </c>
      <c r="D216" s="27">
        <v>725911806.4914</v>
      </c>
      <c r="E216" s="27">
        <v>605010590.66139996</v>
      </c>
      <c r="F216" s="27">
        <v>120901215.83</v>
      </c>
      <c r="G216" s="27">
        <f>VLOOKUP(A216,'[1]saldos al 26May26'!$C$2:$I$1010,7,FALSE)</f>
        <v>-37294765.200000003</v>
      </c>
      <c r="H216" s="27"/>
      <c r="I216" s="28"/>
      <c r="J216" s="29"/>
      <c r="K216" s="25" t="s">
        <v>29</v>
      </c>
      <c r="L216" s="25" t="s">
        <v>30</v>
      </c>
      <c r="M216" s="25" t="s">
        <v>59</v>
      </c>
      <c r="N216" s="25"/>
      <c r="O216" t="s">
        <v>51</v>
      </c>
      <c r="P216" s="32">
        <v>-5100208.3</v>
      </c>
      <c r="Q216" s="30">
        <v>464729.38</v>
      </c>
      <c r="R216" s="30">
        <v>410854.1</v>
      </c>
      <c r="S216" s="30" t="s">
        <v>63</v>
      </c>
      <c r="T216" t="s">
        <v>33</v>
      </c>
      <c r="U216" s="31">
        <v>0</v>
      </c>
      <c r="V216" t="s">
        <v>42</v>
      </c>
      <c r="Y216" t="e">
        <f>VLOOKUP(A216,[2]!PRGX[[#All],[Proveedor]],1,FALSE)</f>
        <v>#REF!</v>
      </c>
    </row>
    <row r="217" spans="1:26" x14ac:dyDescent="0.25">
      <c r="A217" s="25">
        <v>97873</v>
      </c>
      <c r="B217" s="25" t="s">
        <v>259</v>
      </c>
      <c r="C217" s="26">
        <v>31887</v>
      </c>
      <c r="D217" s="27">
        <v>721097391.21510005</v>
      </c>
      <c r="E217" s="27">
        <v>589754458.41500008</v>
      </c>
      <c r="F217" s="27">
        <v>131342932.8001</v>
      </c>
      <c r="G217" s="27">
        <f>VLOOKUP(A217,'[1]saldos al 26May26'!$C$2:$I$1010,7,FALSE)</f>
        <v>-6665400.04</v>
      </c>
      <c r="H217" s="27"/>
      <c r="I217" s="28" t="s">
        <v>27</v>
      </c>
      <c r="J217" s="29"/>
      <c r="K217" s="25" t="s">
        <v>29</v>
      </c>
      <c r="L217" s="25" t="s">
        <v>30</v>
      </c>
      <c r="M217" s="25" t="s">
        <v>50</v>
      </c>
      <c r="N217" s="25"/>
      <c r="O217" t="s">
        <v>87</v>
      </c>
      <c r="P217" s="32">
        <v>-498177.74999999994</v>
      </c>
      <c r="Q217" s="30">
        <v>1727356.1</v>
      </c>
      <c r="R217" s="30"/>
      <c r="S217" s="30" t="s">
        <v>33</v>
      </c>
      <c r="T217" t="s">
        <v>33</v>
      </c>
      <c r="U217" s="31" t="e">
        <v>#N/A</v>
      </c>
      <c r="V217" t="s">
        <v>34</v>
      </c>
      <c r="Y217" t="e">
        <f>VLOOKUP(A217,[2]!PRGX[[#All],[Proveedor]],1,FALSE)</f>
        <v>#REF!</v>
      </c>
      <c r="Z217">
        <v>97873</v>
      </c>
    </row>
    <row r="218" spans="1:26" x14ac:dyDescent="0.25">
      <c r="A218" s="25">
        <v>22955</v>
      </c>
      <c r="B218" s="25" t="s">
        <v>260</v>
      </c>
      <c r="C218" s="26">
        <v>553</v>
      </c>
      <c r="D218" s="27">
        <v>720451534.10660005</v>
      </c>
      <c r="E218" s="27">
        <v>557706438.93400002</v>
      </c>
      <c r="F218" s="27">
        <v>162745095.1726</v>
      </c>
      <c r="G218" s="27">
        <f>VLOOKUP(A218,'[1]saldos al 26May26'!$C$2:$I$1010,7,FALSE)</f>
        <v>-11349941.199999999</v>
      </c>
      <c r="H218" s="27"/>
      <c r="I218" s="28" t="s">
        <v>27</v>
      </c>
      <c r="J218" s="29"/>
      <c r="K218" s="25" t="s">
        <v>29</v>
      </c>
      <c r="L218" s="25" t="s">
        <v>30</v>
      </c>
      <c r="M218" s="25" t="s">
        <v>31</v>
      </c>
      <c r="N218" s="25"/>
      <c r="O218" t="s">
        <v>87</v>
      </c>
      <c r="P218" s="32">
        <v>-241410.4</v>
      </c>
      <c r="Q218" s="30">
        <v>0</v>
      </c>
      <c r="R218" s="30"/>
      <c r="S218" s="30" t="s">
        <v>33</v>
      </c>
      <c r="T218" t="s">
        <v>33</v>
      </c>
      <c r="U218" s="31" t="e">
        <v>#N/A</v>
      </c>
      <c r="V218" t="s">
        <v>34</v>
      </c>
      <c r="Y218" t="e">
        <f>VLOOKUP(A218,[2]!PRGX[[#All],[Proveedor]],1,FALSE)</f>
        <v>#REF!</v>
      </c>
      <c r="Z218">
        <v>22955</v>
      </c>
    </row>
    <row r="219" spans="1:26" x14ac:dyDescent="0.25">
      <c r="A219" s="25">
        <v>396655</v>
      </c>
      <c r="B219" s="25" t="s">
        <v>261</v>
      </c>
      <c r="C219" s="26">
        <v>162510</v>
      </c>
      <c r="D219" s="27">
        <v>720156761.63349998</v>
      </c>
      <c r="E219" s="27">
        <v>526783246.83899999</v>
      </c>
      <c r="F219" s="27">
        <v>193373514.79449999</v>
      </c>
      <c r="G219" s="27">
        <f>VLOOKUP(A219,'[1]saldos al 26May26'!$C$2:$I$1010,7,FALSE)</f>
        <v>-3016308.78</v>
      </c>
      <c r="H219" s="27"/>
      <c r="I219" s="28" t="s">
        <v>27</v>
      </c>
      <c r="J219" s="29"/>
      <c r="K219" s="25" t="s">
        <v>29</v>
      </c>
      <c r="L219" s="25" t="s">
        <v>30</v>
      </c>
      <c r="M219" s="25" t="s">
        <v>31</v>
      </c>
      <c r="N219" s="25"/>
      <c r="O219" t="s">
        <v>96</v>
      </c>
      <c r="P219" s="32">
        <v>-2579891.9299999997</v>
      </c>
      <c r="Q219" s="30">
        <v>808411.25</v>
      </c>
      <c r="R219" s="30"/>
      <c r="S219" s="30">
        <v>0</v>
      </c>
      <c r="T219" t="s">
        <v>33</v>
      </c>
      <c r="U219" s="31" t="e">
        <v>#N/A</v>
      </c>
      <c r="V219" t="s">
        <v>34</v>
      </c>
      <c r="Y219" t="e">
        <f>VLOOKUP(A219,[2]!PRGX[[#All],[Proveedor]],1,FALSE)</f>
        <v>#REF!</v>
      </c>
      <c r="Z219">
        <v>396655</v>
      </c>
    </row>
    <row r="220" spans="1:26" x14ac:dyDescent="0.25">
      <c r="A220" s="25">
        <v>21576</v>
      </c>
      <c r="B220" s="25" t="s">
        <v>262</v>
      </c>
      <c r="C220" s="26">
        <v>9079</v>
      </c>
      <c r="D220" s="27">
        <v>720077206.55789995</v>
      </c>
      <c r="E220" s="27">
        <v>417879517.00389993</v>
      </c>
      <c r="F220" s="27">
        <v>302197689.55400002</v>
      </c>
      <c r="G220" s="27">
        <f>VLOOKUP(A220,'[1]saldos al 26May26'!$C$2:$I$1010,7,FALSE)</f>
        <v>-51281223.759999998</v>
      </c>
      <c r="H220" s="27"/>
      <c r="I220" s="28" t="s">
        <v>27</v>
      </c>
      <c r="J220" s="29"/>
      <c r="K220" s="25" t="s">
        <v>29</v>
      </c>
      <c r="L220" s="25" t="s">
        <v>30</v>
      </c>
      <c r="M220" s="25" t="s">
        <v>31</v>
      </c>
      <c r="N220" s="25"/>
      <c r="O220" t="s">
        <v>51</v>
      </c>
      <c r="P220" s="32">
        <v>-306337.87000000034</v>
      </c>
      <c r="Q220" s="30">
        <v>810000.65999999992</v>
      </c>
      <c r="R220" s="30"/>
      <c r="S220" s="30" t="s">
        <v>33</v>
      </c>
      <c r="T220" t="s">
        <v>33</v>
      </c>
      <c r="U220" s="31" t="e">
        <v>#N/A</v>
      </c>
      <c r="V220" t="s">
        <v>34</v>
      </c>
      <c r="Y220" t="e">
        <f>VLOOKUP(A220,[2]!PRGX[[#All],[Proveedor]],1,FALSE)</f>
        <v>#REF!</v>
      </c>
      <c r="Z220">
        <v>21576</v>
      </c>
    </row>
    <row r="221" spans="1:26" x14ac:dyDescent="0.25">
      <c r="A221" s="25">
        <v>333104</v>
      </c>
      <c r="B221" s="25" t="s">
        <v>263</v>
      </c>
      <c r="C221" s="26">
        <v>65443</v>
      </c>
      <c r="D221" s="27">
        <v>719611981.28999996</v>
      </c>
      <c r="E221" s="27">
        <v>653525087.27999997</v>
      </c>
      <c r="F221" s="27">
        <v>66086894.009999998</v>
      </c>
      <c r="G221" s="27">
        <f>VLOOKUP(A221,'[1]saldos al 26May26'!$C$2:$I$1010,7,FALSE)</f>
        <v>-1892609.43</v>
      </c>
      <c r="H221" s="27"/>
      <c r="I221" s="28"/>
      <c r="J221" s="29"/>
      <c r="K221" s="25" t="s">
        <v>29</v>
      </c>
      <c r="L221" s="25" t="s">
        <v>30</v>
      </c>
      <c r="M221" s="25" t="s">
        <v>59</v>
      </c>
      <c r="N221" s="25"/>
      <c r="O221" t="s">
        <v>32</v>
      </c>
      <c r="P221" s="32">
        <v>-1016129.2</v>
      </c>
      <c r="Q221" s="30">
        <v>76584</v>
      </c>
      <c r="R221" s="30">
        <v>54343.13</v>
      </c>
      <c r="S221" s="30" t="s">
        <v>33</v>
      </c>
      <c r="T221" t="s">
        <v>33</v>
      </c>
      <c r="U221" s="31" t="s">
        <v>33</v>
      </c>
      <c r="V221" t="s">
        <v>33</v>
      </c>
      <c r="Y221" t="e">
        <f>VLOOKUP(A221,[2]!PRGX[[#All],[Proveedor]],1,FALSE)</f>
        <v>#REF!</v>
      </c>
    </row>
    <row r="222" spans="1:26" x14ac:dyDescent="0.25">
      <c r="A222" s="25">
        <v>21484</v>
      </c>
      <c r="B222" s="25" t="s">
        <v>264</v>
      </c>
      <c r="C222" s="26">
        <v>3702</v>
      </c>
      <c r="D222" s="27">
        <v>717673200.75</v>
      </c>
      <c r="E222" s="27">
        <v>702980986.44000006</v>
      </c>
      <c r="F222" s="27">
        <v>14692214.310000001</v>
      </c>
      <c r="G222" s="27">
        <f>VLOOKUP(A222,'[1]saldos al 26May26'!$C$2:$I$1010,7,FALSE)</f>
        <v>-1778000</v>
      </c>
      <c r="H222" s="27"/>
      <c r="I222" s="28"/>
      <c r="J222" s="29"/>
      <c r="K222" s="25" t="s">
        <v>40</v>
      </c>
      <c r="L222" s="25" t="s">
        <v>30</v>
      </c>
      <c r="M222" s="25" t="s">
        <v>59</v>
      </c>
      <c r="N222" s="25" t="s">
        <v>80</v>
      </c>
      <c r="O222" t="s">
        <v>80</v>
      </c>
      <c r="P222" s="32">
        <v>-479282.46</v>
      </c>
      <c r="Q222" s="30">
        <v>0</v>
      </c>
      <c r="R222" s="30"/>
      <c r="S222" s="30" t="s">
        <v>33</v>
      </c>
      <c r="T222" t="s">
        <v>33</v>
      </c>
      <c r="U222" s="31" t="s">
        <v>33</v>
      </c>
      <c r="V222" t="s">
        <v>33</v>
      </c>
      <c r="Y222" t="e">
        <f>VLOOKUP(A222,[2]!PRGX[[#All],[Proveedor]],1,FALSE)</f>
        <v>#REF!</v>
      </c>
    </row>
    <row r="223" spans="1:26" x14ac:dyDescent="0.25">
      <c r="A223" s="25">
        <v>394189</v>
      </c>
      <c r="B223" s="25" t="s">
        <v>265</v>
      </c>
      <c r="C223" s="26">
        <v>102391</v>
      </c>
      <c r="D223" s="27">
        <v>716157048.82000005</v>
      </c>
      <c r="E223" s="27">
        <v>604279172.25999999</v>
      </c>
      <c r="F223" s="27">
        <v>111877876.56</v>
      </c>
      <c r="G223" s="27">
        <f>VLOOKUP(A223,'[1]saldos al 26May26'!$C$2:$I$1010,7,FALSE)</f>
        <v>-44406569.609999999</v>
      </c>
      <c r="H223" s="27"/>
      <c r="I223" s="28"/>
      <c r="J223" s="29"/>
      <c r="K223" s="25" t="s">
        <v>29</v>
      </c>
      <c r="L223" s="25" t="s">
        <v>30</v>
      </c>
      <c r="M223" s="25" t="s">
        <v>59</v>
      </c>
      <c r="N223" s="25"/>
      <c r="O223" t="s">
        <v>67</v>
      </c>
      <c r="P223" s="32">
        <v>-2699158.93</v>
      </c>
      <c r="Q223" s="30">
        <v>220101.72</v>
      </c>
      <c r="R223" s="30">
        <v>956970.16</v>
      </c>
      <c r="S223" s="30" t="s">
        <v>63</v>
      </c>
      <c r="T223" t="s">
        <v>33</v>
      </c>
      <c r="U223" s="31">
        <v>0</v>
      </c>
      <c r="V223" t="s">
        <v>42</v>
      </c>
      <c r="Y223" t="e">
        <f>VLOOKUP(A223,[2]!PRGX[[#All],[Proveedor]],1,FALSE)</f>
        <v>#REF!</v>
      </c>
    </row>
    <row r="224" spans="1:26" x14ac:dyDescent="0.25">
      <c r="A224" s="25">
        <v>18501</v>
      </c>
      <c r="B224" s="25" t="s">
        <v>266</v>
      </c>
      <c r="C224" s="26">
        <v>63548</v>
      </c>
      <c r="D224" s="27">
        <v>712258148.97720003</v>
      </c>
      <c r="E224" s="27">
        <v>684901228.43669999</v>
      </c>
      <c r="F224" s="27">
        <v>27356920.5405</v>
      </c>
      <c r="G224" s="27">
        <f>VLOOKUP(A224,'[1]saldos al 26May26'!$C$2:$I$1010,7,FALSE)</f>
        <v>-1013652.12</v>
      </c>
      <c r="H224" s="27"/>
      <c r="I224" s="28"/>
      <c r="J224" s="29"/>
      <c r="K224" s="25" t="s">
        <v>40</v>
      </c>
      <c r="L224" s="25" t="s">
        <v>30</v>
      </c>
      <c r="M224" s="25" t="s">
        <v>59</v>
      </c>
      <c r="N224" s="25" t="s">
        <v>51</v>
      </c>
      <c r="O224" t="s">
        <v>51</v>
      </c>
      <c r="P224" s="32">
        <v>-343982.14</v>
      </c>
      <c r="Q224" s="30">
        <v>-180.45</v>
      </c>
      <c r="R224" s="30"/>
      <c r="S224" s="30" t="s">
        <v>33</v>
      </c>
      <c r="T224" t="s">
        <v>33</v>
      </c>
      <c r="U224" s="31" t="e">
        <v>#N/A</v>
      </c>
      <c r="V224" t="s">
        <v>34</v>
      </c>
      <c r="Y224" t="e">
        <f>VLOOKUP(A224,[2]!PRGX[[#All],[Proveedor]],1,FALSE)</f>
        <v>#REF!</v>
      </c>
    </row>
    <row r="225" spans="1:26" x14ac:dyDescent="0.25">
      <c r="A225" s="25">
        <v>322552</v>
      </c>
      <c r="B225" s="25" t="s">
        <v>267</v>
      </c>
      <c r="C225" s="26">
        <v>67760</v>
      </c>
      <c r="D225" s="27">
        <v>707122301.98000002</v>
      </c>
      <c r="E225" s="27">
        <v>552538091.12</v>
      </c>
      <c r="F225" s="27">
        <v>154584210.86000001</v>
      </c>
      <c r="G225" s="27">
        <f>VLOOKUP(A225,'[1]saldos al 26May26'!$C$2:$I$1010,7,FALSE)</f>
        <v>-53849112.079999998</v>
      </c>
      <c r="H225" s="27"/>
      <c r="I225" s="28" t="s">
        <v>27</v>
      </c>
      <c r="J225" s="29"/>
      <c r="K225" s="25" t="s">
        <v>29</v>
      </c>
      <c r="L225" s="25" t="s">
        <v>30</v>
      </c>
      <c r="M225" s="25" t="s">
        <v>59</v>
      </c>
      <c r="N225" s="25"/>
      <c r="O225" t="s">
        <v>47</v>
      </c>
      <c r="P225" s="32">
        <v>-47378.35999999987</v>
      </c>
      <c r="Q225" s="30">
        <v>159136.82999999999</v>
      </c>
      <c r="R225" s="30">
        <v>3140679.18</v>
      </c>
      <c r="S225" s="30" t="s">
        <v>63</v>
      </c>
      <c r="T225" t="s">
        <v>33</v>
      </c>
      <c r="U225" s="31" t="e">
        <v>#N/A</v>
      </c>
      <c r="V225" t="s">
        <v>34</v>
      </c>
      <c r="Y225" t="e">
        <f>VLOOKUP(A225,[2]!PRGX[[#All],[Proveedor]],1,FALSE)</f>
        <v>#REF!</v>
      </c>
      <c r="Z225">
        <v>322552</v>
      </c>
    </row>
    <row r="226" spans="1:26" x14ac:dyDescent="0.25">
      <c r="A226" s="25">
        <v>317974</v>
      </c>
      <c r="B226" s="25" t="s">
        <v>268</v>
      </c>
      <c r="C226" s="26">
        <v>5347</v>
      </c>
      <c r="D226" s="27">
        <v>705734660.86399996</v>
      </c>
      <c r="E226" s="27">
        <v>590554631.58999991</v>
      </c>
      <c r="F226" s="27">
        <v>115180029.274</v>
      </c>
      <c r="G226" s="27">
        <f>VLOOKUP(A226,'[1]saldos al 26May26'!$C$2:$I$1010,7,FALSE)</f>
        <v>-5871051.8600000003</v>
      </c>
      <c r="H226" s="27"/>
      <c r="I226" s="28" t="s">
        <v>27</v>
      </c>
      <c r="J226" s="29"/>
      <c r="K226" s="25" t="s">
        <v>29</v>
      </c>
      <c r="L226" s="25" t="s">
        <v>30</v>
      </c>
      <c r="M226" s="25" t="s">
        <v>50</v>
      </c>
      <c r="N226" s="25"/>
      <c r="O226" t="s">
        <v>80</v>
      </c>
      <c r="P226" s="32">
        <v>-2150145.65</v>
      </c>
      <c r="Q226" s="30">
        <v>520000</v>
      </c>
      <c r="R226" s="30"/>
      <c r="S226" s="30" t="s">
        <v>33</v>
      </c>
      <c r="T226" t="s">
        <v>33</v>
      </c>
      <c r="U226" s="31" t="e">
        <v>#N/A</v>
      </c>
      <c r="V226" t="s">
        <v>34</v>
      </c>
      <c r="Y226" t="e">
        <f>VLOOKUP(A226,[2]!PRGX[[#All],[Proveedor]],1,FALSE)</f>
        <v>#REF!</v>
      </c>
      <c r="Z226">
        <v>317974</v>
      </c>
    </row>
    <row r="227" spans="1:26" x14ac:dyDescent="0.25">
      <c r="A227" s="25">
        <v>3160</v>
      </c>
      <c r="B227" s="25" t="s">
        <v>269</v>
      </c>
      <c r="C227" s="26">
        <v>78528</v>
      </c>
      <c r="D227" s="27">
        <v>705411349.22000003</v>
      </c>
      <c r="E227" s="27">
        <v>603502167.51999998</v>
      </c>
      <c r="F227" s="27">
        <v>101909181.7</v>
      </c>
      <c r="G227" s="27">
        <f>VLOOKUP(A227,'[1]saldos al 26May26'!$C$2:$I$1010,7,FALSE)</f>
        <v>-4645437.5199999996</v>
      </c>
      <c r="H227" s="27"/>
      <c r="I227" s="28"/>
      <c r="J227" s="29"/>
      <c r="K227" s="25" t="s">
        <v>29</v>
      </c>
      <c r="L227" s="25" t="s">
        <v>30</v>
      </c>
      <c r="M227" s="25" t="s">
        <v>31</v>
      </c>
      <c r="N227" s="25"/>
      <c r="O227" t="s">
        <v>47</v>
      </c>
      <c r="P227" s="32">
        <v>-2064264</v>
      </c>
      <c r="Q227" s="30">
        <v>686624.24</v>
      </c>
      <c r="R227" s="30">
        <v>150000</v>
      </c>
      <c r="S227" s="30" t="s">
        <v>63</v>
      </c>
      <c r="T227" t="s">
        <v>33</v>
      </c>
      <c r="U227" s="31">
        <v>0</v>
      </c>
      <c r="V227" t="s">
        <v>42</v>
      </c>
      <c r="Y227" t="e">
        <f>VLOOKUP(A227,[2]!PRGX[[#All],[Proveedor]],1,FALSE)</f>
        <v>#REF!</v>
      </c>
    </row>
    <row r="228" spans="1:26" x14ac:dyDescent="0.25">
      <c r="A228" s="25">
        <v>225839</v>
      </c>
      <c r="B228" s="25" t="s">
        <v>270</v>
      </c>
      <c r="C228" s="26">
        <v>119128</v>
      </c>
      <c r="D228" s="27">
        <v>703298273.73039997</v>
      </c>
      <c r="E228" s="27">
        <v>575901680.22000003</v>
      </c>
      <c r="F228" s="27">
        <v>127396593.5104</v>
      </c>
      <c r="G228" s="27">
        <f>VLOOKUP(A228,'[1]saldos al 26May26'!$C$2:$I$1010,7,FALSE)</f>
        <v>-31093611.079999998</v>
      </c>
      <c r="H228" s="27"/>
      <c r="I228" s="28"/>
      <c r="J228" s="29">
        <v>1340877.3531687658</v>
      </c>
      <c r="K228" s="25" t="s">
        <v>40</v>
      </c>
      <c r="L228" s="25" t="s">
        <v>30</v>
      </c>
      <c r="M228" s="25" t="s">
        <v>50</v>
      </c>
      <c r="N228" s="25" t="s">
        <v>87</v>
      </c>
      <c r="O228" t="s">
        <v>87</v>
      </c>
      <c r="P228" s="30">
        <v>4298985.38</v>
      </c>
      <c r="Q228" s="30">
        <v>5990765.1299999999</v>
      </c>
      <c r="R228" s="30"/>
      <c r="S228" s="30" t="s">
        <v>33</v>
      </c>
      <c r="T228" t="s">
        <v>33</v>
      </c>
      <c r="U228" s="31">
        <v>0</v>
      </c>
      <c r="V228" t="s">
        <v>34</v>
      </c>
      <c r="Y228" t="e">
        <f>VLOOKUP(A228,[2]!PRGX[[#All],[Proveedor]],1,FALSE)</f>
        <v>#REF!</v>
      </c>
    </row>
    <row r="229" spans="1:26" x14ac:dyDescent="0.25">
      <c r="A229" s="25">
        <v>16634</v>
      </c>
      <c r="B229" s="25" t="s">
        <v>271</v>
      </c>
      <c r="C229" s="26">
        <v>131887</v>
      </c>
      <c r="D229" s="27">
        <v>700409449.44060004</v>
      </c>
      <c r="E229" s="27">
        <v>628156587.42460001</v>
      </c>
      <c r="F229" s="27">
        <v>72252862.016000003</v>
      </c>
      <c r="G229" s="27">
        <f>VLOOKUP(A229,'[1]saldos al 26May26'!$C$2:$I$1010,7,FALSE)</f>
        <v>-7557947.2699999996</v>
      </c>
      <c r="H229" s="27"/>
      <c r="I229" s="28"/>
      <c r="J229" s="29"/>
      <c r="K229" s="25" t="s">
        <v>29</v>
      </c>
      <c r="L229" s="25" t="s">
        <v>30</v>
      </c>
      <c r="M229" s="25" t="s">
        <v>59</v>
      </c>
      <c r="N229" s="25"/>
      <c r="O229" t="s">
        <v>47</v>
      </c>
      <c r="P229" s="32">
        <v>-5617768.1300000008</v>
      </c>
      <c r="Q229" s="30">
        <v>1220747.3899999999</v>
      </c>
      <c r="R229" s="30"/>
      <c r="S229" s="30" t="s">
        <v>33</v>
      </c>
      <c r="T229" t="s">
        <v>33</v>
      </c>
      <c r="U229" s="31" t="s">
        <v>33</v>
      </c>
      <c r="V229" t="s">
        <v>33</v>
      </c>
      <c r="Y229" t="e">
        <f>VLOOKUP(A229,[2]!PRGX[[#All],[Proveedor]],1,FALSE)</f>
        <v>#REF!</v>
      </c>
    </row>
    <row r="230" spans="1:26" x14ac:dyDescent="0.25">
      <c r="A230" s="25">
        <v>74849</v>
      </c>
      <c r="B230" s="25" t="s">
        <v>272</v>
      </c>
      <c r="C230" s="26">
        <v>301973</v>
      </c>
      <c r="D230" s="27">
        <v>699039078.71259999</v>
      </c>
      <c r="E230" s="27">
        <v>636921870.54279995</v>
      </c>
      <c r="F230" s="27">
        <v>62117208.169799998</v>
      </c>
      <c r="G230" s="27">
        <f>VLOOKUP(A230,'[1]saldos al 26May26'!$C$2:$I$1010,7,FALSE)</f>
        <v>-7364939.25</v>
      </c>
      <c r="H230" s="27"/>
      <c r="I230" s="28"/>
      <c r="J230" s="29"/>
      <c r="K230" s="25" t="s">
        <v>40</v>
      </c>
      <c r="L230" s="25" t="s">
        <v>30</v>
      </c>
      <c r="M230" s="25" t="s">
        <v>59</v>
      </c>
      <c r="N230" s="25" t="s">
        <v>45</v>
      </c>
      <c r="O230" t="s">
        <v>45</v>
      </c>
      <c r="P230" s="32">
        <v>-2229994.39</v>
      </c>
      <c r="Q230" s="30">
        <v>181921.92000000001</v>
      </c>
      <c r="R230" s="30"/>
      <c r="S230" s="30" t="e">
        <v>#N/A</v>
      </c>
      <c r="T230" t="s">
        <v>34</v>
      </c>
      <c r="U230" s="31" t="e">
        <v>#N/A</v>
      </c>
      <c r="V230" t="s">
        <v>34</v>
      </c>
      <c r="Y230" t="e">
        <f>VLOOKUP(A230,[2]!PRGX[[#All],[Proveedor]],1,FALSE)</f>
        <v>#REF!</v>
      </c>
    </row>
    <row r="231" spans="1:26" x14ac:dyDescent="0.25">
      <c r="A231" s="25">
        <v>86041</v>
      </c>
      <c r="B231" s="25" t="s">
        <v>273</v>
      </c>
      <c r="C231" s="26">
        <v>2660</v>
      </c>
      <c r="D231" s="27">
        <v>697169613.70000005</v>
      </c>
      <c r="E231" s="27">
        <v>558875459.5</v>
      </c>
      <c r="F231" s="27">
        <v>138294154.19999999</v>
      </c>
      <c r="G231" s="27">
        <f>VLOOKUP(A231,'[1]saldos al 26May26'!$C$2:$I$1010,7,FALSE)</f>
        <v>-10376486.539999999</v>
      </c>
      <c r="H231" s="27"/>
      <c r="I231" s="28" t="s">
        <v>27</v>
      </c>
      <c r="J231" s="29"/>
      <c r="K231" s="25" t="s">
        <v>29</v>
      </c>
      <c r="L231" s="25" t="s">
        <v>30</v>
      </c>
      <c r="M231" s="25" t="s">
        <v>50</v>
      </c>
      <c r="N231" s="25"/>
      <c r="O231" t="s">
        <v>32</v>
      </c>
      <c r="P231" s="32">
        <v>-235443.12</v>
      </c>
      <c r="Q231" s="30">
        <v>0</v>
      </c>
      <c r="R231" s="30">
        <v>136865</v>
      </c>
      <c r="S231" s="30" t="s">
        <v>33</v>
      </c>
      <c r="T231" t="s">
        <v>33</v>
      </c>
      <c r="U231" s="31" t="e">
        <v>#N/A</v>
      </c>
      <c r="V231" t="s">
        <v>34</v>
      </c>
      <c r="Y231" t="e">
        <f>VLOOKUP(A231,[2]!PRGX[[#All],[Proveedor]],1,FALSE)</f>
        <v>#REF!</v>
      </c>
      <c r="Z231">
        <v>86041</v>
      </c>
    </row>
    <row r="232" spans="1:26" x14ac:dyDescent="0.25">
      <c r="A232" s="25">
        <v>311803</v>
      </c>
      <c r="B232" s="25" t="s">
        <v>274</v>
      </c>
      <c r="C232" s="49">
        <v>1010</v>
      </c>
      <c r="D232" s="50">
        <v>110563618.09999999</v>
      </c>
      <c r="E232" s="27">
        <v>103398652.5</v>
      </c>
      <c r="F232" s="27">
        <v>7164965.5999999996</v>
      </c>
      <c r="G232" s="50">
        <f>VLOOKUP(A232,'[1]saldos al 26May26'!$C$2:$I$1010,7,FALSE)</f>
        <v>-838761.26</v>
      </c>
      <c r="H232" s="50"/>
      <c r="I232" s="28"/>
      <c r="J232" s="51">
        <v>435313.77166436345</v>
      </c>
      <c r="K232" s="25" t="s">
        <v>40</v>
      </c>
      <c r="L232" s="25" t="s">
        <v>30</v>
      </c>
      <c r="M232" s="25" t="s">
        <v>50</v>
      </c>
      <c r="N232" s="25" t="s">
        <v>56</v>
      </c>
      <c r="O232" t="s">
        <v>56</v>
      </c>
      <c r="P232" s="60">
        <v>-3165316.58</v>
      </c>
      <c r="Q232" s="61">
        <v>0</v>
      </c>
      <c r="R232" s="30">
        <v>395196.42</v>
      </c>
      <c r="S232" s="30" t="e">
        <v>#N/A</v>
      </c>
      <c r="T232" t="s">
        <v>34</v>
      </c>
      <c r="U232" s="31" t="e">
        <v>#N/A</v>
      </c>
      <c r="V232" t="s">
        <v>34</v>
      </c>
      <c r="Y232" t="e">
        <f>VLOOKUP(A232,[2]!PRGX[[#All],[Proveedor]],1,FALSE)</f>
        <v>#REF!</v>
      </c>
    </row>
    <row r="233" spans="1:26" x14ac:dyDescent="0.25">
      <c r="A233" s="25">
        <v>21462</v>
      </c>
      <c r="B233" s="25" t="s">
        <v>275</v>
      </c>
      <c r="C233" s="26">
        <v>18711</v>
      </c>
      <c r="D233" s="27">
        <v>694720387.01629996</v>
      </c>
      <c r="E233" s="27">
        <v>519775210.80629992</v>
      </c>
      <c r="F233" s="27">
        <v>174945176.21000001</v>
      </c>
      <c r="G233" s="27">
        <f>VLOOKUP(A233,'[1]saldos al 26May26'!$C$2:$I$1010,7,FALSE)</f>
        <v>-7865702.0700000003</v>
      </c>
      <c r="H233" s="27"/>
      <c r="I233" s="28" t="s">
        <v>27</v>
      </c>
      <c r="J233" s="29"/>
      <c r="K233" s="25" t="s">
        <v>29</v>
      </c>
      <c r="L233" s="25" t="s">
        <v>30</v>
      </c>
      <c r="M233" s="25" t="s">
        <v>50</v>
      </c>
      <c r="N233" s="25"/>
      <c r="O233" t="s">
        <v>47</v>
      </c>
      <c r="P233" s="32">
        <v>-3567005.02</v>
      </c>
      <c r="Q233" s="30">
        <v>0</v>
      </c>
      <c r="R233" s="30"/>
      <c r="S233" s="30" t="s">
        <v>63</v>
      </c>
      <c r="T233" t="s">
        <v>33</v>
      </c>
      <c r="U233" s="31" t="e">
        <v>#N/A</v>
      </c>
      <c r="V233" t="s">
        <v>34</v>
      </c>
      <c r="Y233" t="e">
        <f>VLOOKUP(A233,[2]!PRGX[[#All],[Proveedor]],1,FALSE)</f>
        <v>#REF!</v>
      </c>
      <c r="Z233">
        <v>21462</v>
      </c>
    </row>
    <row r="234" spans="1:26" x14ac:dyDescent="0.25">
      <c r="A234" s="25">
        <v>384446</v>
      </c>
      <c r="B234" s="25" t="s">
        <v>276</v>
      </c>
      <c r="C234" s="26">
        <v>140199</v>
      </c>
      <c r="D234" s="27">
        <v>688907096.61000001</v>
      </c>
      <c r="E234" s="27">
        <v>609992321.69000006</v>
      </c>
      <c r="F234" s="27">
        <v>78914774.920000002</v>
      </c>
      <c r="G234" s="27">
        <f>VLOOKUP(A234,'[1]saldos al 26May26'!$C$2:$I$1010,7,FALSE)</f>
        <v>-38622433.990000002</v>
      </c>
      <c r="H234" s="27"/>
      <c r="I234" s="28"/>
      <c r="J234" s="29">
        <v>1684953.9098010804</v>
      </c>
      <c r="K234" s="25" t="s">
        <v>40</v>
      </c>
      <c r="L234" s="25" t="s">
        <v>30</v>
      </c>
      <c r="M234" s="25" t="s">
        <v>61</v>
      </c>
      <c r="N234" s="25" t="s">
        <v>38</v>
      </c>
      <c r="O234" t="s">
        <v>38</v>
      </c>
      <c r="P234" s="32">
        <v>-632531.13</v>
      </c>
      <c r="Q234" s="30">
        <v>1687521.98</v>
      </c>
      <c r="R234" s="30">
        <v>50000</v>
      </c>
      <c r="S234" s="30" t="s">
        <v>63</v>
      </c>
      <c r="T234" t="s">
        <v>33</v>
      </c>
      <c r="U234" s="31" t="s">
        <v>33</v>
      </c>
      <c r="V234" t="s">
        <v>33</v>
      </c>
      <c r="Y234" t="e">
        <f>VLOOKUP(A234,[2]!PRGX[[#All],[Proveedor]],1,FALSE)</f>
        <v>#REF!</v>
      </c>
    </row>
    <row r="235" spans="1:26" x14ac:dyDescent="0.25">
      <c r="A235" s="25">
        <v>219402</v>
      </c>
      <c r="B235" s="25" t="s">
        <v>277</v>
      </c>
      <c r="C235" s="26">
        <v>19949</v>
      </c>
      <c r="D235" s="27">
        <v>687930218.57130003</v>
      </c>
      <c r="E235" s="27">
        <v>573762963.24240005</v>
      </c>
      <c r="F235" s="27">
        <v>114167255.32889999</v>
      </c>
      <c r="G235" s="27">
        <f>VLOOKUP(A235,'[1]saldos al 26May26'!$C$2:$I$1010,7,FALSE)</f>
        <v>-1985315.01</v>
      </c>
      <c r="H235" s="27"/>
      <c r="I235" s="28" t="s">
        <v>27</v>
      </c>
      <c r="J235" s="29"/>
      <c r="K235" s="25" t="s">
        <v>29</v>
      </c>
      <c r="L235" s="25" t="s">
        <v>30</v>
      </c>
      <c r="M235" s="25" t="s">
        <v>50</v>
      </c>
      <c r="N235" s="25"/>
      <c r="O235" t="s">
        <v>47</v>
      </c>
      <c r="P235" s="32">
        <v>-1860710.1099999999</v>
      </c>
      <c r="Q235" s="30">
        <v>188167.13</v>
      </c>
      <c r="R235" s="30"/>
      <c r="S235" s="30" t="s">
        <v>33</v>
      </c>
      <c r="T235" t="s">
        <v>33</v>
      </c>
      <c r="U235" s="31" t="e">
        <v>#N/A</v>
      </c>
      <c r="V235" t="s">
        <v>34</v>
      </c>
      <c r="Y235" t="e">
        <f>VLOOKUP(A235,[2]!PRGX[[#All],[Proveedor]],1,FALSE)</f>
        <v>#REF!</v>
      </c>
      <c r="Z235">
        <v>219402</v>
      </c>
    </row>
    <row r="236" spans="1:26" x14ac:dyDescent="0.25">
      <c r="A236" s="25">
        <v>3540</v>
      </c>
      <c r="B236" s="25" t="s">
        <v>278</v>
      </c>
      <c r="C236" s="26">
        <v>4412</v>
      </c>
      <c r="D236" s="27">
        <v>678990111</v>
      </c>
      <c r="E236" s="27">
        <v>577342634</v>
      </c>
      <c r="F236" s="27">
        <v>101647477</v>
      </c>
      <c r="G236" s="27">
        <f>VLOOKUP(A236,'[1]saldos al 26May26'!$C$2:$I$1010,7,FALSE)</f>
        <v>-23880015.390000001</v>
      </c>
      <c r="H236" s="27"/>
      <c r="I236" s="28" t="s">
        <v>27</v>
      </c>
      <c r="J236" s="29"/>
      <c r="K236" s="25" t="s">
        <v>29</v>
      </c>
      <c r="L236" s="25" t="s">
        <v>30</v>
      </c>
      <c r="M236" s="25" t="s">
        <v>55</v>
      </c>
      <c r="N236" s="25"/>
      <c r="O236" t="s">
        <v>47</v>
      </c>
      <c r="P236" s="32">
        <v>-3885933.06</v>
      </c>
      <c r="Q236" s="30">
        <v>0</v>
      </c>
      <c r="R236" s="30"/>
      <c r="S236" s="30" t="s">
        <v>63</v>
      </c>
      <c r="T236" t="s">
        <v>33</v>
      </c>
      <c r="U236" s="31" t="e">
        <v>#N/A</v>
      </c>
      <c r="V236" t="s">
        <v>34</v>
      </c>
      <c r="Y236" t="e">
        <f>VLOOKUP(A236,[2]!PRGX[[#All],[Proveedor]],1,FALSE)</f>
        <v>#REF!</v>
      </c>
      <c r="Z236">
        <v>3540</v>
      </c>
    </row>
    <row r="237" spans="1:26" x14ac:dyDescent="0.25">
      <c r="A237" s="25">
        <v>53256</v>
      </c>
      <c r="B237" s="25" t="s">
        <v>279</v>
      </c>
      <c r="C237" s="26">
        <v>21628</v>
      </c>
      <c r="D237" s="27">
        <v>676454393.12520003</v>
      </c>
      <c r="E237" s="27">
        <v>560188665.92540002</v>
      </c>
      <c r="F237" s="27">
        <v>116265727.1998</v>
      </c>
      <c r="G237" s="27">
        <f>VLOOKUP(A237,'[1]saldos al 26May26'!$C$2:$I$1010,7,FALSE)</f>
        <v>-12321738.57</v>
      </c>
      <c r="H237" s="27"/>
      <c r="I237" s="28" t="s">
        <v>27</v>
      </c>
      <c r="J237" s="29"/>
      <c r="K237" s="25" t="s">
        <v>29</v>
      </c>
      <c r="L237" s="25" t="s">
        <v>30</v>
      </c>
      <c r="M237" s="25" t="s">
        <v>50</v>
      </c>
      <c r="N237" s="25"/>
      <c r="O237" t="s">
        <v>80</v>
      </c>
      <c r="P237" s="30">
        <v>115207766.81</v>
      </c>
      <c r="Q237" s="30">
        <v>470387.76</v>
      </c>
      <c r="R237" s="30">
        <v>492654.79</v>
      </c>
      <c r="S237" s="30" t="s">
        <v>63</v>
      </c>
      <c r="T237" t="s">
        <v>33</v>
      </c>
      <c r="U237" s="31" t="e">
        <v>#N/A</v>
      </c>
      <c r="V237" t="s">
        <v>34</v>
      </c>
      <c r="Y237" t="e">
        <f>VLOOKUP(A237,[2]!PRGX[[#All],[Proveedor]],1,FALSE)</f>
        <v>#REF!</v>
      </c>
      <c r="Z237">
        <v>53256</v>
      </c>
    </row>
    <row r="238" spans="1:26" x14ac:dyDescent="0.25">
      <c r="A238" s="25">
        <v>322545</v>
      </c>
      <c r="B238" s="25" t="s">
        <v>219</v>
      </c>
      <c r="C238" s="26">
        <v>182950</v>
      </c>
      <c r="D238" s="27">
        <v>671400586.79999995</v>
      </c>
      <c r="E238" s="27">
        <v>591770507.13</v>
      </c>
      <c r="F238" s="27">
        <v>79630079.670000002</v>
      </c>
      <c r="G238" s="27">
        <f>VLOOKUP(A238,'[1]saldos al 26May26'!$C$2:$I$1010,7,FALSE)</f>
        <v>-15853985.630000001</v>
      </c>
      <c r="H238" s="27"/>
      <c r="I238" s="28"/>
      <c r="J238" s="29"/>
      <c r="K238" s="25" t="s">
        <v>29</v>
      </c>
      <c r="L238" s="25" t="s">
        <v>30</v>
      </c>
      <c r="M238" s="25" t="s">
        <v>50</v>
      </c>
      <c r="N238" s="25"/>
      <c r="O238" t="s">
        <v>47</v>
      </c>
      <c r="P238" s="32">
        <v>-157963.20000000001</v>
      </c>
      <c r="Q238" s="30">
        <v>0</v>
      </c>
      <c r="R238" s="30"/>
      <c r="S238" s="30" t="s">
        <v>63</v>
      </c>
      <c r="T238" t="s">
        <v>33</v>
      </c>
      <c r="U238" s="31" t="e">
        <v>#N/A</v>
      </c>
      <c r="V238" t="s">
        <v>34</v>
      </c>
      <c r="Y238" t="e">
        <f>VLOOKUP(A238,[2]!PRGX[[#All],[Proveedor]],1,FALSE)</f>
        <v>#REF!</v>
      </c>
    </row>
    <row r="239" spans="1:26" x14ac:dyDescent="0.25">
      <c r="A239" s="25">
        <v>55079</v>
      </c>
      <c r="B239" s="25" t="s">
        <v>280</v>
      </c>
      <c r="C239" s="26">
        <v>158701</v>
      </c>
      <c r="D239" s="27">
        <v>663747393.46070004</v>
      </c>
      <c r="E239" s="27">
        <v>591644822.24370003</v>
      </c>
      <c r="F239" s="27">
        <v>72102571.216999993</v>
      </c>
      <c r="G239" s="27">
        <f>VLOOKUP(A239,'[1]saldos al 26May26'!$C$2:$I$1010,7,FALSE)</f>
        <v>-2006505.33</v>
      </c>
      <c r="H239" s="27"/>
      <c r="I239" s="28"/>
      <c r="J239" s="29"/>
      <c r="K239" s="25" t="s">
        <v>40</v>
      </c>
      <c r="L239" s="25" t="s">
        <v>30</v>
      </c>
      <c r="M239" s="25" t="s">
        <v>59</v>
      </c>
      <c r="N239" s="25" t="s">
        <v>67</v>
      </c>
      <c r="O239" t="s">
        <v>67</v>
      </c>
      <c r="P239" s="30">
        <v>16315498.99</v>
      </c>
      <c r="Q239" s="30">
        <v>8929615.5700000003</v>
      </c>
      <c r="R239" s="30"/>
      <c r="S239" s="30" t="s">
        <v>33</v>
      </c>
      <c r="T239" t="s">
        <v>33</v>
      </c>
      <c r="U239" s="31" t="e">
        <v>#N/A</v>
      </c>
      <c r="V239" t="s">
        <v>34</v>
      </c>
      <c r="Y239" t="e">
        <f>VLOOKUP(A239,[2]!PRGX[[#All],[Proveedor]],1,FALSE)</f>
        <v>#REF!</v>
      </c>
    </row>
    <row r="240" spans="1:26" x14ac:dyDescent="0.25">
      <c r="A240" s="25">
        <v>49890</v>
      </c>
      <c r="B240" s="25" t="s">
        <v>281</v>
      </c>
      <c r="C240" s="26">
        <v>83479</v>
      </c>
      <c r="D240" s="27">
        <v>661195419.75119996</v>
      </c>
      <c r="E240" s="27">
        <v>625094517.16999996</v>
      </c>
      <c r="F240" s="27">
        <v>36100902.581200004</v>
      </c>
      <c r="G240" s="27">
        <f>VLOOKUP(A240,'[1]saldos al 26May26'!$C$2:$I$1010,7,FALSE)</f>
        <v>-13660016.98</v>
      </c>
      <c r="H240" s="27"/>
      <c r="I240" s="28"/>
      <c r="J240" s="29"/>
      <c r="K240" s="25" t="s">
        <v>29</v>
      </c>
      <c r="L240" s="25" t="s">
        <v>30</v>
      </c>
      <c r="M240" s="25" t="s">
        <v>50</v>
      </c>
      <c r="N240" s="25"/>
      <c r="O240" t="s">
        <v>70</v>
      </c>
      <c r="P240" s="30">
        <v>23117726.57</v>
      </c>
      <c r="Q240" s="30">
        <v>1011374.1299999999</v>
      </c>
      <c r="R240" s="30"/>
      <c r="S240" s="30" t="s">
        <v>63</v>
      </c>
      <c r="T240" t="s">
        <v>33</v>
      </c>
      <c r="U240" s="31">
        <v>0</v>
      </c>
      <c r="V240" t="s">
        <v>42</v>
      </c>
      <c r="Y240" t="e">
        <f>VLOOKUP(A240,[2]!PRGX[[#All],[Proveedor]],1,FALSE)</f>
        <v>#REF!</v>
      </c>
    </row>
    <row r="241" spans="1:26" x14ac:dyDescent="0.25">
      <c r="A241" s="25">
        <v>23071</v>
      </c>
      <c r="B241" s="25" t="s">
        <v>282</v>
      </c>
      <c r="C241" s="26">
        <v>17246</v>
      </c>
      <c r="D241" s="27">
        <v>658556502.67999995</v>
      </c>
      <c r="E241" s="27">
        <v>461767052.31999993</v>
      </c>
      <c r="F241" s="27">
        <v>196789450.36000001</v>
      </c>
      <c r="G241" s="27">
        <f>VLOOKUP(A241,'[1]saldos al 26May26'!$C$2:$I$1010,7,FALSE)</f>
        <v>-63858380.909999996</v>
      </c>
      <c r="H241" s="27"/>
      <c r="I241" s="28" t="s">
        <v>27</v>
      </c>
      <c r="J241" s="29"/>
      <c r="K241" s="25" t="s">
        <v>29</v>
      </c>
      <c r="L241" s="25" t="s">
        <v>30</v>
      </c>
      <c r="M241" s="25" t="s">
        <v>50</v>
      </c>
      <c r="N241" s="25"/>
      <c r="O241" t="s">
        <v>80</v>
      </c>
      <c r="P241" s="32">
        <v>-5931967.0599999996</v>
      </c>
      <c r="Q241" s="30">
        <v>0</v>
      </c>
      <c r="R241" s="30">
        <v>699352</v>
      </c>
      <c r="S241" s="30" t="s">
        <v>33</v>
      </c>
      <c r="T241" t="s">
        <v>33</v>
      </c>
      <c r="U241" s="31" t="e">
        <v>#N/A</v>
      </c>
      <c r="V241" t="s">
        <v>34</v>
      </c>
      <c r="Y241" t="e">
        <f>VLOOKUP(A241,[2]!PRGX[[#All],[Proveedor]],1,FALSE)</f>
        <v>#REF!</v>
      </c>
      <c r="Z241">
        <v>23071</v>
      </c>
    </row>
    <row r="242" spans="1:26" x14ac:dyDescent="0.25">
      <c r="A242" s="36">
        <v>23972</v>
      </c>
      <c r="B242" s="36" t="s">
        <v>283</v>
      </c>
      <c r="C242" s="37">
        <v>1595</v>
      </c>
      <c r="D242" s="38">
        <v>654988612.29999995</v>
      </c>
      <c r="E242" s="38">
        <v>626591066.29999995</v>
      </c>
      <c r="F242" s="38">
        <v>28397546</v>
      </c>
      <c r="G242" s="38" t="e">
        <f>VLOOKUP(A242,'[1]saldos al 26May26'!$C$2:$I$1010,7,FALSE)</f>
        <v>#N/A</v>
      </c>
      <c r="H242" s="39" t="s">
        <v>54</v>
      </c>
      <c r="I242" s="40" t="s">
        <v>27</v>
      </c>
      <c r="J242" s="41"/>
      <c r="K242" s="36" t="s">
        <v>29</v>
      </c>
      <c r="L242" s="36" t="s">
        <v>30</v>
      </c>
      <c r="M242" s="36" t="s">
        <v>55</v>
      </c>
      <c r="N242" s="25"/>
      <c r="O242" s="42" t="s">
        <v>47</v>
      </c>
      <c r="P242" s="32">
        <v>-267800</v>
      </c>
      <c r="Q242" s="30">
        <v>0</v>
      </c>
      <c r="R242" s="30"/>
      <c r="S242" s="30" t="s">
        <v>33</v>
      </c>
      <c r="T242" t="s">
        <v>33</v>
      </c>
      <c r="U242" s="31" t="e">
        <v>#N/A</v>
      </c>
      <c r="V242" t="s">
        <v>34</v>
      </c>
      <c r="Y242" t="e">
        <f>VLOOKUP(A242,[2]!PRGX[[#All],[Proveedor]],1,FALSE)</f>
        <v>#REF!</v>
      </c>
      <c r="Z242">
        <v>23972</v>
      </c>
    </row>
    <row r="243" spans="1:26" x14ac:dyDescent="0.25">
      <c r="A243" s="25">
        <v>381087</v>
      </c>
      <c r="B243" s="25" t="s">
        <v>284</v>
      </c>
      <c r="C243" s="26">
        <v>139004</v>
      </c>
      <c r="D243" s="27">
        <v>653208719.47280002</v>
      </c>
      <c r="E243" s="27">
        <v>539294752.48640001</v>
      </c>
      <c r="F243" s="27">
        <v>113913966.98639999</v>
      </c>
      <c r="G243" s="27">
        <f>VLOOKUP(A243,'[1]saldos al 26May26'!$C$2:$I$1010,7,FALSE)</f>
        <v>-11265618.65</v>
      </c>
      <c r="H243" s="27"/>
      <c r="I243" s="28"/>
      <c r="J243" s="29">
        <v>148170.57560000001</v>
      </c>
      <c r="K243" s="25" t="s">
        <v>40</v>
      </c>
      <c r="L243" s="25" t="s">
        <v>30</v>
      </c>
      <c r="M243" s="25" t="s">
        <v>31</v>
      </c>
      <c r="N243" s="25" t="s">
        <v>38</v>
      </c>
      <c r="O243" t="s">
        <v>38</v>
      </c>
      <c r="P243" s="32">
        <v>-824950.72000000009</v>
      </c>
      <c r="Q243" s="30">
        <v>-8928.25</v>
      </c>
      <c r="R243" s="30"/>
      <c r="S243" s="30" t="s">
        <v>63</v>
      </c>
      <c r="T243" t="s">
        <v>33</v>
      </c>
      <c r="U243" s="31" t="s">
        <v>33</v>
      </c>
      <c r="V243" t="s">
        <v>33</v>
      </c>
      <c r="Y243" t="e">
        <f>VLOOKUP(A243,[2]!PRGX[[#All],[Proveedor]],1,FALSE)</f>
        <v>#REF!</v>
      </c>
    </row>
    <row r="244" spans="1:26" x14ac:dyDescent="0.25">
      <c r="A244" s="25">
        <v>314294</v>
      </c>
      <c r="B244" s="25" t="s">
        <v>285</v>
      </c>
      <c r="C244" s="26">
        <v>18649</v>
      </c>
      <c r="D244" s="27">
        <v>647227926.25</v>
      </c>
      <c r="E244" s="27">
        <v>556117921.47000003</v>
      </c>
      <c r="F244" s="27">
        <v>91110004.780000001</v>
      </c>
      <c r="G244" s="27">
        <f>VLOOKUP(A244,'[1]saldos al 26May26'!$C$2:$I$1010,7,FALSE)</f>
        <v>-4319360.9000000004</v>
      </c>
      <c r="H244" s="27"/>
      <c r="I244" s="28"/>
      <c r="J244" s="29"/>
      <c r="K244" s="25" t="s">
        <v>29</v>
      </c>
      <c r="L244" s="25" t="s">
        <v>30</v>
      </c>
      <c r="M244" s="25" t="s">
        <v>59</v>
      </c>
      <c r="N244" s="25"/>
      <c r="O244" t="s">
        <v>45</v>
      </c>
      <c r="P244" s="32">
        <v>-533804.44000000006</v>
      </c>
      <c r="Q244" s="30">
        <v>2721124.0500000003</v>
      </c>
      <c r="R244" s="30">
        <v>10649.4</v>
      </c>
      <c r="S244" s="30">
        <v>0</v>
      </c>
      <c r="T244" t="s">
        <v>33</v>
      </c>
      <c r="U244" s="31" t="e">
        <v>#N/A</v>
      </c>
      <c r="V244" t="s">
        <v>34</v>
      </c>
      <c r="Y244" t="e">
        <f>VLOOKUP(A244,[2]!PRGX[[#All],[Proveedor]],1,FALSE)</f>
        <v>#REF!</v>
      </c>
    </row>
    <row r="245" spans="1:26" x14ac:dyDescent="0.25">
      <c r="A245" s="25">
        <v>48660</v>
      </c>
      <c r="B245" s="25" t="s">
        <v>286</v>
      </c>
      <c r="C245" s="26">
        <v>128019</v>
      </c>
      <c r="D245" s="27">
        <v>644507010.69500005</v>
      </c>
      <c r="E245" s="27">
        <v>601375684.92470002</v>
      </c>
      <c r="F245" s="27">
        <v>43131325.770300001</v>
      </c>
      <c r="G245" s="27">
        <f>VLOOKUP(A245,'[1]saldos al 26May26'!$C$2:$I$1010,7,FALSE)</f>
        <v>-6302574.2400000002</v>
      </c>
      <c r="H245" s="27"/>
      <c r="I245" s="28"/>
      <c r="J245" s="29"/>
      <c r="K245" s="25" t="s">
        <v>29</v>
      </c>
      <c r="L245" s="25" t="s">
        <v>30</v>
      </c>
      <c r="M245" s="25" t="s">
        <v>59</v>
      </c>
      <c r="N245" s="25"/>
      <c r="O245" t="s">
        <v>45</v>
      </c>
      <c r="P245" s="32">
        <v>-2885548.85</v>
      </c>
      <c r="Q245" s="30">
        <v>0</v>
      </c>
      <c r="R245" s="30">
        <v>692491.74</v>
      </c>
      <c r="S245" s="30">
        <v>0</v>
      </c>
      <c r="T245" t="s">
        <v>33</v>
      </c>
      <c r="U245" s="31" t="e">
        <v>#N/A</v>
      </c>
      <c r="V245" t="s">
        <v>34</v>
      </c>
      <c r="Y245" t="e">
        <f>VLOOKUP(A245,[2]!PRGX[[#All],[Proveedor]],1,FALSE)</f>
        <v>#REF!</v>
      </c>
    </row>
    <row r="246" spans="1:26" x14ac:dyDescent="0.25">
      <c r="A246" s="25">
        <v>23146</v>
      </c>
      <c r="B246" s="25" t="s">
        <v>287</v>
      </c>
      <c r="C246" s="26">
        <v>127987</v>
      </c>
      <c r="D246" s="27">
        <v>641925653.75</v>
      </c>
      <c r="E246" s="27">
        <v>443355163.10500002</v>
      </c>
      <c r="F246" s="27">
        <v>198570490.64500001</v>
      </c>
      <c r="G246" s="27">
        <f>VLOOKUP(A246,'[1]saldos al 26May26'!$C$2:$I$1010,7,FALSE)</f>
        <v>-19581758.629999999</v>
      </c>
      <c r="H246" s="27"/>
      <c r="I246" s="28" t="s">
        <v>27</v>
      </c>
      <c r="J246" s="29"/>
      <c r="K246" s="25" t="s">
        <v>29</v>
      </c>
      <c r="L246" s="25" t="s">
        <v>30</v>
      </c>
      <c r="M246" s="25" t="s">
        <v>31</v>
      </c>
      <c r="N246" s="25"/>
      <c r="O246" t="s">
        <v>36</v>
      </c>
      <c r="P246" s="30">
        <v>106461291.16</v>
      </c>
      <c r="Q246" s="30">
        <v>0</v>
      </c>
      <c r="R246" s="30"/>
      <c r="S246" s="30" t="s">
        <v>33</v>
      </c>
      <c r="T246" t="s">
        <v>33</v>
      </c>
      <c r="U246" s="31" t="e">
        <v>#N/A</v>
      </c>
      <c r="V246" t="s">
        <v>34</v>
      </c>
      <c r="Y246" t="e">
        <f>VLOOKUP(A246,[2]!PRGX[[#All],[Proveedor]],1,FALSE)</f>
        <v>#REF!</v>
      </c>
      <c r="Z246">
        <v>23146</v>
      </c>
    </row>
    <row r="247" spans="1:26" x14ac:dyDescent="0.25">
      <c r="A247" s="25">
        <v>335240</v>
      </c>
      <c r="B247" s="25" t="s">
        <v>288</v>
      </c>
      <c r="C247" s="49">
        <v>1708</v>
      </c>
      <c r="D247" s="50">
        <v>9186647.5099999998</v>
      </c>
      <c r="E247" s="27">
        <v>7854707.25</v>
      </c>
      <c r="F247" s="27">
        <v>1331940.26</v>
      </c>
      <c r="G247" s="50">
        <f>VLOOKUP(A247,'[1]saldos al 26May26'!$C$2:$I$1010,7,FALSE)</f>
        <v>-503403.27</v>
      </c>
      <c r="H247" s="50"/>
      <c r="I247" s="28"/>
      <c r="J247" s="51">
        <v>424662.37769719702</v>
      </c>
      <c r="K247" s="25" t="s">
        <v>40</v>
      </c>
      <c r="L247" s="25" t="s">
        <v>30</v>
      </c>
      <c r="M247" s="25" t="s">
        <v>50</v>
      </c>
      <c r="N247" s="25" t="s">
        <v>56</v>
      </c>
      <c r="O247" t="s">
        <v>56</v>
      </c>
      <c r="P247" s="32">
        <v>-27205.72</v>
      </c>
      <c r="Q247" s="30">
        <v>0</v>
      </c>
      <c r="R247" s="30"/>
      <c r="S247" s="30" t="e">
        <v>#N/A</v>
      </c>
      <c r="T247" t="s">
        <v>34</v>
      </c>
      <c r="U247" s="31">
        <v>0</v>
      </c>
      <c r="V247" t="s">
        <v>42</v>
      </c>
      <c r="Y247" t="e">
        <f>VLOOKUP(A247,[2]!PRGX[[#All],[Proveedor]],1,FALSE)</f>
        <v>#REF!</v>
      </c>
    </row>
    <row r="248" spans="1:26" x14ac:dyDescent="0.25">
      <c r="A248" s="25">
        <v>72470</v>
      </c>
      <c r="B248" s="25" t="s">
        <v>289</v>
      </c>
      <c r="C248" s="26">
        <v>396836</v>
      </c>
      <c r="D248" s="27">
        <v>636244660.13999999</v>
      </c>
      <c r="E248" s="27">
        <v>531692955.57999998</v>
      </c>
      <c r="F248" s="27">
        <v>104551704.56</v>
      </c>
      <c r="G248" s="27">
        <f>VLOOKUP(A248,'[1]saldos al 26May26'!$C$2:$I$1010,7,FALSE)</f>
        <v>-49002321.509999998</v>
      </c>
      <c r="H248" s="27"/>
      <c r="I248" s="28"/>
      <c r="J248" s="29"/>
      <c r="K248" s="25" t="s">
        <v>29</v>
      </c>
      <c r="L248" s="25" t="s">
        <v>30</v>
      </c>
      <c r="M248" s="25" t="s">
        <v>59</v>
      </c>
      <c r="N248" s="25"/>
      <c r="O248" t="s">
        <v>80</v>
      </c>
      <c r="P248" s="32">
        <v>-3156865.51</v>
      </c>
      <c r="Q248" s="30">
        <v>121763.1</v>
      </c>
      <c r="R248" s="30">
        <v>3513976</v>
      </c>
      <c r="S248" s="30" t="s">
        <v>33</v>
      </c>
      <c r="T248" t="s">
        <v>33</v>
      </c>
      <c r="U248" s="31" t="e">
        <v>#N/A</v>
      </c>
      <c r="V248" t="s">
        <v>34</v>
      </c>
      <c r="Y248" t="e">
        <f>VLOOKUP(A248,[2]!PRGX[[#All],[Proveedor]],1,FALSE)</f>
        <v>#REF!</v>
      </c>
      <c r="Z248">
        <v>72470</v>
      </c>
    </row>
    <row r="249" spans="1:26" x14ac:dyDescent="0.25">
      <c r="A249" s="25">
        <v>320457</v>
      </c>
      <c r="B249" s="25" t="s">
        <v>290</v>
      </c>
      <c r="C249" s="26">
        <v>249481</v>
      </c>
      <c r="D249" s="27">
        <v>633148834.15929997</v>
      </c>
      <c r="E249" s="27">
        <v>526753242.59239995</v>
      </c>
      <c r="F249" s="27">
        <v>106395591.5669</v>
      </c>
      <c r="G249" s="27">
        <f>VLOOKUP(A249,'[1]saldos al 26May26'!$C$2:$I$1010,7,FALSE)</f>
        <v>-10752445.57</v>
      </c>
      <c r="H249" s="27"/>
      <c r="I249" s="28"/>
      <c r="J249" s="29">
        <v>122790.27301908001</v>
      </c>
      <c r="K249" s="25" t="s">
        <v>40</v>
      </c>
      <c r="L249" s="25" t="s">
        <v>30</v>
      </c>
      <c r="M249" s="25" t="s">
        <v>31</v>
      </c>
      <c r="N249" s="25" t="s">
        <v>41</v>
      </c>
      <c r="O249" t="s">
        <v>41</v>
      </c>
      <c r="P249" s="32">
        <v>-213002.56</v>
      </c>
      <c r="Q249" s="30">
        <v>0</v>
      </c>
      <c r="R249" s="30"/>
      <c r="S249" s="30" t="s">
        <v>63</v>
      </c>
      <c r="T249" s="57" t="s">
        <v>33</v>
      </c>
      <c r="U249" s="31" t="s">
        <v>33</v>
      </c>
      <c r="V249" t="s">
        <v>33</v>
      </c>
      <c r="Y249" t="e">
        <f>VLOOKUP(A249,[2]!PRGX[[#All],[Proveedor]],1,FALSE)</f>
        <v>#REF!</v>
      </c>
    </row>
    <row r="250" spans="1:26" x14ac:dyDescent="0.25">
      <c r="A250" s="25">
        <v>23157</v>
      </c>
      <c r="B250" s="25" t="s">
        <v>291</v>
      </c>
      <c r="C250" s="26">
        <v>2447</v>
      </c>
      <c r="D250" s="27">
        <v>630250128.06700003</v>
      </c>
      <c r="E250" s="27">
        <v>422504452.18300003</v>
      </c>
      <c r="F250" s="27">
        <v>207745675.884</v>
      </c>
      <c r="G250" s="27">
        <f>VLOOKUP(A250,'[1]saldos al 26May26'!$C$2:$I$1010,7,FALSE)</f>
        <v>-38818111.32</v>
      </c>
      <c r="H250" s="27"/>
      <c r="I250" s="28" t="s">
        <v>27</v>
      </c>
      <c r="J250" s="29"/>
      <c r="K250" s="25" t="s">
        <v>29</v>
      </c>
      <c r="L250" s="25" t="s">
        <v>30</v>
      </c>
      <c r="M250" s="25" t="s">
        <v>59</v>
      </c>
      <c r="N250" s="25"/>
      <c r="O250" t="s">
        <v>45</v>
      </c>
      <c r="P250" s="32">
        <v>-9862898.1400000006</v>
      </c>
      <c r="Q250" s="30">
        <v>0</v>
      </c>
      <c r="R250" s="30">
        <v>7458914.4799999995</v>
      </c>
      <c r="S250" s="30">
        <v>0</v>
      </c>
      <c r="T250" t="s">
        <v>33</v>
      </c>
      <c r="U250" s="31" t="e">
        <v>#N/A</v>
      </c>
      <c r="V250" t="s">
        <v>34</v>
      </c>
      <c r="Y250" t="e">
        <f>VLOOKUP(A250,[2]!PRGX[[#All],[Proveedor]],1,FALSE)</f>
        <v>#REF!</v>
      </c>
      <c r="Z250">
        <v>23157</v>
      </c>
    </row>
    <row r="251" spans="1:26" x14ac:dyDescent="0.25">
      <c r="A251" s="25">
        <v>71217</v>
      </c>
      <c r="B251" s="25" t="s">
        <v>292</v>
      </c>
      <c r="C251" s="26">
        <v>85439</v>
      </c>
      <c r="D251" s="27">
        <v>629992901.12950003</v>
      </c>
      <c r="E251" s="27">
        <v>542177357.63950002</v>
      </c>
      <c r="F251" s="27">
        <v>87815543.489999995</v>
      </c>
      <c r="G251" s="27">
        <f>VLOOKUP(A251,'[1]saldos al 26May26'!$C$2:$I$1010,7,FALSE)</f>
        <v>-23382749.940000001</v>
      </c>
      <c r="H251" s="27"/>
      <c r="I251" s="28"/>
      <c r="J251" s="29"/>
      <c r="K251" s="25" t="s">
        <v>29</v>
      </c>
      <c r="L251" s="25" t="s">
        <v>30</v>
      </c>
      <c r="M251" s="25" t="s">
        <v>59</v>
      </c>
      <c r="N251" s="25"/>
      <c r="O251" t="s">
        <v>41</v>
      </c>
      <c r="P251" s="30">
        <v>24873901.870000001</v>
      </c>
      <c r="Q251" s="30">
        <v>9522023.370000001</v>
      </c>
      <c r="R251" s="30">
        <v>3631294.69</v>
      </c>
      <c r="S251" s="30" t="s">
        <v>33</v>
      </c>
      <c r="T251" t="s">
        <v>33</v>
      </c>
      <c r="U251" s="31" t="e">
        <v>#N/A</v>
      </c>
      <c r="V251" t="s">
        <v>34</v>
      </c>
      <c r="Y251" t="e">
        <f>VLOOKUP(A251,[2]!PRGX[[#All],[Proveedor]],1,FALSE)</f>
        <v>#REF!</v>
      </c>
    </row>
    <row r="252" spans="1:26" x14ac:dyDescent="0.25">
      <c r="A252" s="25">
        <v>325969</v>
      </c>
      <c r="B252" s="25" t="s">
        <v>293</v>
      </c>
      <c r="C252" s="26">
        <v>575</v>
      </c>
      <c r="D252" s="27">
        <v>8763468</v>
      </c>
      <c r="E252" s="27">
        <v>7435908</v>
      </c>
      <c r="F252" s="27">
        <v>1327560</v>
      </c>
      <c r="G252" s="27">
        <f>VLOOKUP(A252,'[1]saldos al 26May26'!$C$2:$I$1010,7,FALSE)</f>
        <v>-624056.89</v>
      </c>
      <c r="H252" s="27"/>
      <c r="I252" s="28"/>
      <c r="J252" s="29">
        <v>386179.05480915197</v>
      </c>
      <c r="K252" s="25" t="s">
        <v>40</v>
      </c>
      <c r="L252" s="25" t="s">
        <v>30</v>
      </c>
      <c r="M252" s="25" t="s">
        <v>50</v>
      </c>
      <c r="N252" s="25" t="s">
        <v>56</v>
      </c>
      <c r="O252" t="s">
        <v>56</v>
      </c>
      <c r="P252" s="32">
        <v>-28103.64</v>
      </c>
      <c r="Q252" s="30">
        <v>0</v>
      </c>
      <c r="R252" s="30">
        <v>45357.35</v>
      </c>
      <c r="S252" s="30" t="e">
        <v>#N/A</v>
      </c>
      <c r="T252" t="s">
        <v>34</v>
      </c>
      <c r="U252" s="31" t="e">
        <v>#N/A</v>
      </c>
      <c r="V252" t="s">
        <v>34</v>
      </c>
      <c r="Y252" t="e">
        <f>VLOOKUP(A252,[2]!PRGX[[#All],[Proveedor]],1,FALSE)</f>
        <v>#REF!</v>
      </c>
    </row>
    <row r="253" spans="1:26" x14ac:dyDescent="0.25">
      <c r="A253" s="25">
        <v>43463</v>
      </c>
      <c r="B253" s="25" t="s">
        <v>294</v>
      </c>
      <c r="C253" s="26">
        <v>112999</v>
      </c>
      <c r="D253" s="27">
        <v>625145006.72000003</v>
      </c>
      <c r="E253" s="27">
        <v>560924105.59000003</v>
      </c>
      <c r="F253" s="27">
        <v>64220901.130000003</v>
      </c>
      <c r="G253" s="27">
        <f>VLOOKUP(A253,'[1]saldos al 26May26'!$C$2:$I$1010,7,FALSE)</f>
        <v>-12896582.390000001</v>
      </c>
      <c r="H253" s="27"/>
      <c r="I253" s="28"/>
      <c r="J253" s="29"/>
      <c r="K253" s="25" t="s">
        <v>29</v>
      </c>
      <c r="L253" s="25" t="s">
        <v>30</v>
      </c>
      <c r="M253" s="25" t="s">
        <v>50</v>
      </c>
      <c r="N253" s="25"/>
      <c r="O253" t="s">
        <v>51</v>
      </c>
      <c r="P253" s="32">
        <v>-491279.4</v>
      </c>
      <c r="Q253" s="30">
        <v>289103.96000000002</v>
      </c>
      <c r="R253" s="30">
        <v>48112.67</v>
      </c>
      <c r="S253" s="30" t="s">
        <v>63</v>
      </c>
      <c r="T253" t="s">
        <v>33</v>
      </c>
      <c r="U253" s="31">
        <v>0</v>
      </c>
      <c r="V253" t="s">
        <v>42</v>
      </c>
      <c r="Y253" t="e">
        <f>VLOOKUP(A253,[2]!PRGX[[#All],[Proveedor]],1,FALSE)</f>
        <v>#REF!</v>
      </c>
    </row>
    <row r="254" spans="1:26" x14ac:dyDescent="0.25">
      <c r="A254" s="36">
        <v>34934</v>
      </c>
      <c r="B254" s="36" t="s">
        <v>295</v>
      </c>
      <c r="C254" s="37">
        <v>33184</v>
      </c>
      <c r="D254" s="38">
        <v>624456626.88</v>
      </c>
      <c r="E254" s="38">
        <v>522541965.56</v>
      </c>
      <c r="F254" s="38">
        <v>101914661.31999999</v>
      </c>
      <c r="G254" s="38">
        <f>VLOOKUP(A254,'[1]saldos al 26May26'!$C$2:$I$1010,7,FALSE)</f>
        <v>3202117.31</v>
      </c>
      <c r="H254" s="39" t="s">
        <v>54</v>
      </c>
      <c r="I254" s="40"/>
      <c r="J254" s="41"/>
      <c r="K254" s="36" t="s">
        <v>29</v>
      </c>
      <c r="L254" s="36" t="s">
        <v>30</v>
      </c>
      <c r="M254" s="36" t="s">
        <v>55</v>
      </c>
      <c r="N254" s="25"/>
      <c r="O254" s="42" t="s">
        <v>32</v>
      </c>
      <c r="P254" s="32">
        <v>-503514.74000000011</v>
      </c>
      <c r="Q254" s="30">
        <v>165790.54999999993</v>
      </c>
      <c r="R254" s="30"/>
      <c r="S254" s="30" t="s">
        <v>63</v>
      </c>
      <c r="T254" t="s">
        <v>33</v>
      </c>
      <c r="U254" s="31" t="e">
        <v>#N/A</v>
      </c>
      <c r="V254" t="s">
        <v>34</v>
      </c>
      <c r="Y254" t="e">
        <f>VLOOKUP(A254,[2]!PRGX[[#All],[Proveedor]],1,FALSE)</f>
        <v>#REF!</v>
      </c>
    </row>
    <row r="255" spans="1:26" x14ac:dyDescent="0.25">
      <c r="A255" s="25">
        <v>21844</v>
      </c>
      <c r="B255" s="25" t="s">
        <v>296</v>
      </c>
      <c r="C255" s="26">
        <v>10380</v>
      </c>
      <c r="D255" s="27">
        <v>619628117.38999999</v>
      </c>
      <c r="E255" s="27">
        <v>613932025.93999994</v>
      </c>
      <c r="F255" s="27">
        <v>5696091.4500000002</v>
      </c>
      <c r="G255" s="27">
        <f>VLOOKUP(A255,'[1]saldos al 26May26'!$C$2:$I$1010,7,FALSE)</f>
        <v>-1072030.18</v>
      </c>
      <c r="H255" s="27"/>
      <c r="I255" s="28" t="s">
        <v>27</v>
      </c>
      <c r="J255" s="29"/>
      <c r="K255" s="25" t="s">
        <v>29</v>
      </c>
      <c r="L255" s="25" t="s">
        <v>30</v>
      </c>
      <c r="M255" s="25" t="s">
        <v>55</v>
      </c>
      <c r="N255" s="25"/>
      <c r="O255" t="s">
        <v>80</v>
      </c>
      <c r="P255" s="32">
        <v>-995952.49</v>
      </c>
      <c r="Q255" s="30">
        <v>457989.4</v>
      </c>
      <c r="R255" s="30"/>
      <c r="S255" s="30" t="s">
        <v>33</v>
      </c>
      <c r="T255" t="s">
        <v>33</v>
      </c>
      <c r="U255" s="31" t="e">
        <v>#N/A</v>
      </c>
      <c r="V255" t="s">
        <v>34</v>
      </c>
      <c r="Y255" t="e">
        <f>VLOOKUP(A255,[2]!PRGX[[#All],[Proveedor]],1,FALSE)</f>
        <v>#REF!</v>
      </c>
      <c r="Z255">
        <v>21844</v>
      </c>
    </row>
    <row r="256" spans="1:26" x14ac:dyDescent="0.25">
      <c r="A256" s="25">
        <v>8593</v>
      </c>
      <c r="B256" s="25" t="s">
        <v>297</v>
      </c>
      <c r="C256" s="26">
        <v>142362</v>
      </c>
      <c r="D256" s="27">
        <v>617400108.64199996</v>
      </c>
      <c r="E256" s="27">
        <v>449947608.5</v>
      </c>
      <c r="F256" s="27">
        <v>167452500.14199999</v>
      </c>
      <c r="G256" s="27">
        <f>VLOOKUP(A256,'[1]saldos al 26May26'!$C$2:$I$1010,7,FALSE)</f>
        <v>-550118.40000000002</v>
      </c>
      <c r="H256" s="27"/>
      <c r="I256" s="28" t="s">
        <v>27</v>
      </c>
      <c r="J256" s="29"/>
      <c r="K256" s="25" t="s">
        <v>29</v>
      </c>
      <c r="L256" s="25" t="s">
        <v>30</v>
      </c>
      <c r="M256" s="25" t="s">
        <v>50</v>
      </c>
      <c r="N256" s="25"/>
      <c r="O256" t="s">
        <v>96</v>
      </c>
      <c r="P256" s="32">
        <v>-2532075.0099999998</v>
      </c>
      <c r="Q256" s="30">
        <v>0</v>
      </c>
      <c r="R256" s="30"/>
      <c r="S256" s="30">
        <v>0</v>
      </c>
      <c r="T256" t="s">
        <v>33</v>
      </c>
      <c r="U256" s="31">
        <v>0</v>
      </c>
      <c r="V256" t="s">
        <v>42</v>
      </c>
      <c r="Y256" t="e">
        <f>VLOOKUP(A256,[2]!PRGX[[#All],[Proveedor]],1,FALSE)</f>
        <v>#REF!</v>
      </c>
      <c r="Z256">
        <v>8593</v>
      </c>
    </row>
    <row r="257" spans="1:26" x14ac:dyDescent="0.25">
      <c r="A257" s="36">
        <v>81570</v>
      </c>
      <c r="B257" s="36" t="s">
        <v>298</v>
      </c>
      <c r="C257" s="37">
        <v>6913</v>
      </c>
      <c r="D257" s="38">
        <v>617281289.1444</v>
      </c>
      <c r="E257" s="38">
        <v>558643103.2256</v>
      </c>
      <c r="F257" s="38">
        <v>58638185.918799996</v>
      </c>
      <c r="G257" s="38">
        <f>VLOOKUP(A257,'[1]saldos al 26May26'!$C$2:$I$1010,7,FALSE)</f>
        <v>670.82</v>
      </c>
      <c r="H257" s="39" t="s">
        <v>54</v>
      </c>
      <c r="I257" s="40"/>
      <c r="J257" s="41"/>
      <c r="K257" s="36" t="s">
        <v>40</v>
      </c>
      <c r="L257" s="36" t="s">
        <v>30</v>
      </c>
      <c r="M257" s="36" t="s">
        <v>55</v>
      </c>
      <c r="N257" s="25" t="s">
        <v>70</v>
      </c>
      <c r="O257" s="42" t="s">
        <v>70</v>
      </c>
      <c r="P257" s="30">
        <v>2642150.84</v>
      </c>
      <c r="Q257" s="30">
        <v>2725382</v>
      </c>
      <c r="R257" s="30"/>
      <c r="S257" s="30" t="s">
        <v>33</v>
      </c>
      <c r="T257" t="s">
        <v>33</v>
      </c>
      <c r="U257" s="31" t="e">
        <v>#N/A</v>
      </c>
      <c r="V257" t="s">
        <v>34</v>
      </c>
      <c r="Y257" t="e">
        <f>VLOOKUP(A257,[2]!PRGX[[#All],[Proveedor]],1,FALSE)</f>
        <v>#REF!</v>
      </c>
    </row>
    <row r="258" spans="1:26" x14ac:dyDescent="0.25">
      <c r="A258" s="25">
        <v>64170</v>
      </c>
      <c r="B258" s="25" t="s">
        <v>299</v>
      </c>
      <c r="C258" s="26">
        <v>67260</v>
      </c>
      <c r="D258" s="27">
        <v>616257539.92830002</v>
      </c>
      <c r="E258" s="27">
        <v>514123020.62830001</v>
      </c>
      <c r="F258" s="27">
        <v>102134519.3</v>
      </c>
      <c r="G258" s="27">
        <f>VLOOKUP(A258,'[1]saldos al 26May26'!$C$2:$I$1010,7,FALSE)</f>
        <v>-18185834.82</v>
      </c>
      <c r="H258" s="27"/>
      <c r="I258" s="28"/>
      <c r="J258" s="29"/>
      <c r="K258" s="25" t="s">
        <v>29</v>
      </c>
      <c r="L258" s="25" t="s">
        <v>30</v>
      </c>
      <c r="M258" s="25" t="s">
        <v>59</v>
      </c>
      <c r="N258" s="25"/>
      <c r="O258" t="s">
        <v>41</v>
      </c>
      <c r="P258" s="32">
        <v>-2602864.5099999998</v>
      </c>
      <c r="Q258" s="30">
        <v>176695.98</v>
      </c>
      <c r="R258" s="30"/>
      <c r="S258" s="30" t="s">
        <v>63</v>
      </c>
      <c r="T258" t="s">
        <v>33</v>
      </c>
      <c r="U258" s="31" t="e">
        <v>#N/A</v>
      </c>
      <c r="V258" t="s">
        <v>34</v>
      </c>
      <c r="Y258" t="e">
        <f>VLOOKUP(A258,[2]!PRGX[[#All],[Proveedor]],1,FALSE)</f>
        <v>#REF!</v>
      </c>
    </row>
    <row r="259" spans="1:26" x14ac:dyDescent="0.25">
      <c r="A259" s="25">
        <v>311621</v>
      </c>
      <c r="B259" s="25" t="s">
        <v>300</v>
      </c>
      <c r="C259" s="26">
        <v>14445</v>
      </c>
      <c r="D259" s="27">
        <v>615046096.59200001</v>
      </c>
      <c r="E259" s="27">
        <v>560128397.67799997</v>
      </c>
      <c r="F259" s="27">
        <v>54917698.913999997</v>
      </c>
      <c r="G259" s="27">
        <f>VLOOKUP(A259,'[1]saldos al 26May26'!$C$2:$I$1010,7,FALSE)</f>
        <v>-5932016.6600000001</v>
      </c>
      <c r="H259" s="27"/>
      <c r="I259" s="28"/>
      <c r="J259" s="29"/>
      <c r="K259" s="25" t="s">
        <v>29</v>
      </c>
      <c r="L259" s="25" t="s">
        <v>30</v>
      </c>
      <c r="M259" s="25" t="s">
        <v>59</v>
      </c>
      <c r="N259" s="25"/>
      <c r="O259" t="s">
        <v>80</v>
      </c>
      <c r="P259" s="32">
        <v>-3735546.1199999992</v>
      </c>
      <c r="Q259" s="30">
        <v>7808944.6100000003</v>
      </c>
      <c r="R259" s="30"/>
      <c r="S259" s="30" t="s">
        <v>33</v>
      </c>
      <c r="T259" t="s">
        <v>33</v>
      </c>
      <c r="U259" s="31" t="s">
        <v>33</v>
      </c>
      <c r="V259" t="s">
        <v>33</v>
      </c>
      <c r="Y259" t="e">
        <f>VLOOKUP(A259,[2]!PRGX[[#All],[Proveedor]],1,FALSE)</f>
        <v>#REF!</v>
      </c>
    </row>
    <row r="260" spans="1:26" x14ac:dyDescent="0.25">
      <c r="A260" s="25">
        <v>4069</v>
      </c>
      <c r="B260" s="25" t="s">
        <v>301</v>
      </c>
      <c r="C260" s="26">
        <v>10971</v>
      </c>
      <c r="D260" s="27">
        <v>613047438.70000005</v>
      </c>
      <c r="E260" s="27">
        <v>503668859.70000005</v>
      </c>
      <c r="F260" s="27">
        <v>109378579</v>
      </c>
      <c r="G260" s="27">
        <f>VLOOKUP(A260,'[1]saldos al 26May26'!$C$2:$I$1010,7,FALSE)</f>
        <v>-195465.39</v>
      </c>
      <c r="H260" s="27"/>
      <c r="I260" s="28" t="s">
        <v>27</v>
      </c>
      <c r="J260" s="29"/>
      <c r="K260" s="25" t="s">
        <v>29</v>
      </c>
      <c r="L260" s="25" t="s">
        <v>30</v>
      </c>
      <c r="M260" s="25" t="s">
        <v>59</v>
      </c>
      <c r="N260" s="25"/>
      <c r="O260" t="s">
        <v>45</v>
      </c>
      <c r="P260" s="30">
        <v>6891090.7300000004</v>
      </c>
      <c r="Q260" s="30">
        <v>5047671.7699999996</v>
      </c>
      <c r="R260" s="30">
        <v>512207.45999999996</v>
      </c>
      <c r="S260" s="30">
        <v>0</v>
      </c>
      <c r="T260" t="s">
        <v>33</v>
      </c>
      <c r="U260" s="31" t="e">
        <v>#N/A</v>
      </c>
      <c r="V260" t="s">
        <v>34</v>
      </c>
      <c r="Y260" t="e">
        <f>VLOOKUP(A260,[2]!PRGX[[#All],[Proveedor]],1,FALSE)</f>
        <v>#REF!</v>
      </c>
      <c r="Z260">
        <v>4069</v>
      </c>
    </row>
    <row r="261" spans="1:26" x14ac:dyDescent="0.25">
      <c r="A261" s="25">
        <v>66944</v>
      </c>
      <c r="B261" s="25" t="s">
        <v>302</v>
      </c>
      <c r="C261" s="26">
        <v>4798</v>
      </c>
      <c r="D261" s="27">
        <v>613007021.44949996</v>
      </c>
      <c r="E261" s="27">
        <v>592786976.32499993</v>
      </c>
      <c r="F261" s="27">
        <v>20220045.124499999</v>
      </c>
      <c r="G261" s="27">
        <f>VLOOKUP(A261,'[1]saldos al 26May26'!$C$2:$I$1010,7,FALSE)</f>
        <v>-1625286.29</v>
      </c>
      <c r="H261" s="27"/>
      <c r="I261" s="28"/>
      <c r="J261" s="29"/>
      <c r="K261" s="25" t="s">
        <v>40</v>
      </c>
      <c r="L261" s="25" t="s">
        <v>30</v>
      </c>
      <c r="M261" s="25" t="s">
        <v>59</v>
      </c>
      <c r="N261" s="25" t="s">
        <v>38</v>
      </c>
      <c r="O261" t="s">
        <v>38</v>
      </c>
      <c r="P261" s="32">
        <v>-226452.19</v>
      </c>
      <c r="Q261" s="30">
        <v>-145663</v>
      </c>
      <c r="R261" s="30"/>
      <c r="S261" s="30" t="s">
        <v>33</v>
      </c>
      <c r="T261" t="s">
        <v>33</v>
      </c>
      <c r="U261" s="31" t="e">
        <v>#N/A</v>
      </c>
      <c r="V261" t="s">
        <v>34</v>
      </c>
      <c r="Y261" t="e">
        <f>VLOOKUP(A261,[2]!PRGX[[#All],[Proveedor]],1,FALSE)</f>
        <v>#REF!</v>
      </c>
    </row>
    <row r="262" spans="1:26" x14ac:dyDescent="0.25">
      <c r="A262" s="25">
        <v>383711</v>
      </c>
      <c r="B262" s="25" t="s">
        <v>303</v>
      </c>
      <c r="C262" s="26">
        <v>16730</v>
      </c>
      <c r="D262" s="27">
        <v>611128901.19000006</v>
      </c>
      <c r="E262" s="27">
        <v>520230084.19000006</v>
      </c>
      <c r="F262" s="27">
        <v>90898817</v>
      </c>
      <c r="G262" s="27">
        <f>VLOOKUP(A262,'[1]saldos al 26May26'!$C$2:$I$1010,7,FALSE)</f>
        <v>-10189246.359999999</v>
      </c>
      <c r="H262" s="27"/>
      <c r="I262" s="28"/>
      <c r="J262" s="29"/>
      <c r="K262" s="25" t="s">
        <v>29</v>
      </c>
      <c r="L262" s="25" t="s">
        <v>30</v>
      </c>
      <c r="M262" s="25" t="s">
        <v>50</v>
      </c>
      <c r="N262" s="25"/>
      <c r="O262" t="s">
        <v>67</v>
      </c>
      <c r="P262" s="32">
        <v>-640281.4</v>
      </c>
      <c r="Q262" s="30">
        <v>0</v>
      </c>
      <c r="R262" s="30"/>
      <c r="S262" s="30" t="s">
        <v>63</v>
      </c>
      <c r="T262" t="s">
        <v>33</v>
      </c>
      <c r="U262" s="31" t="e">
        <v>#N/A</v>
      </c>
      <c r="V262" t="s">
        <v>34</v>
      </c>
      <c r="Y262" t="e">
        <f>VLOOKUP(A262,[2]!PRGX[[#All],[Proveedor]],1,FALSE)</f>
        <v>#REF!</v>
      </c>
    </row>
    <row r="263" spans="1:26" x14ac:dyDescent="0.25">
      <c r="A263" s="25">
        <v>321216</v>
      </c>
      <c r="B263" s="25" t="s">
        <v>304</v>
      </c>
      <c r="C263" s="26">
        <v>77151</v>
      </c>
      <c r="D263" s="27">
        <v>464525138.96740001</v>
      </c>
      <c r="E263" s="27">
        <v>428055901.65700001</v>
      </c>
      <c r="F263" s="27">
        <v>36469237.310400002</v>
      </c>
      <c r="G263" s="27">
        <f>VLOOKUP(A263,'[1]saldos al 26May26'!$C$2:$I$1010,7,FALSE)</f>
        <v>-536065.61</v>
      </c>
      <c r="H263" s="27"/>
      <c r="I263" s="28"/>
      <c r="J263" s="29">
        <v>229981.71799999999</v>
      </c>
      <c r="K263" s="25" t="s">
        <v>40</v>
      </c>
      <c r="L263" s="25" t="s">
        <v>30</v>
      </c>
      <c r="M263" s="25" t="s">
        <v>50</v>
      </c>
      <c r="N263" s="25" t="s">
        <v>56</v>
      </c>
      <c r="O263" t="s">
        <v>56</v>
      </c>
      <c r="P263" s="32">
        <v>-163930.79</v>
      </c>
      <c r="Q263" s="30">
        <v>83670.27</v>
      </c>
      <c r="R263" s="30"/>
      <c r="S263" s="30" t="s">
        <v>63</v>
      </c>
      <c r="T263" t="s">
        <v>33</v>
      </c>
      <c r="U263" s="31" t="e">
        <v>#N/A</v>
      </c>
      <c r="V263" t="s">
        <v>34</v>
      </c>
      <c r="Y263" t="e">
        <f>VLOOKUP(A263,[2]!PRGX[[#All],[Proveedor]],1,FALSE)</f>
        <v>#REF!</v>
      </c>
    </row>
    <row r="264" spans="1:26" x14ac:dyDescent="0.25">
      <c r="A264" s="25">
        <v>325746</v>
      </c>
      <c r="B264" s="25" t="s">
        <v>305</v>
      </c>
      <c r="C264" s="26">
        <v>315723</v>
      </c>
      <c r="D264" s="27">
        <v>608522703.56850004</v>
      </c>
      <c r="E264" s="27">
        <v>451415752.01550007</v>
      </c>
      <c r="F264" s="27">
        <v>157106951.553</v>
      </c>
      <c r="G264" s="27">
        <f>VLOOKUP(A264,'[1]saldos al 26May26'!$C$2:$I$1010,7,FALSE)</f>
        <v>-1640256.24</v>
      </c>
      <c r="H264" s="27"/>
      <c r="I264" s="28" t="s">
        <v>27</v>
      </c>
      <c r="J264" s="29"/>
      <c r="K264" s="25" t="s">
        <v>29</v>
      </c>
      <c r="L264" s="25" t="s">
        <v>30</v>
      </c>
      <c r="M264" s="25" t="s">
        <v>31</v>
      </c>
      <c r="N264" s="25"/>
      <c r="O264" t="s">
        <v>45</v>
      </c>
      <c r="P264" s="30">
        <v>27375590.179999996</v>
      </c>
      <c r="Q264" s="30">
        <v>547366.88</v>
      </c>
      <c r="R264" s="30">
        <v>188168</v>
      </c>
      <c r="S264" s="30">
        <v>0</v>
      </c>
      <c r="T264" t="s">
        <v>33</v>
      </c>
      <c r="U264" s="31" t="e">
        <v>#N/A</v>
      </c>
      <c r="V264" t="s">
        <v>34</v>
      </c>
      <c r="Y264" t="e">
        <f>VLOOKUP(A264,[2]!PRGX[[#All],[Proveedor]],1,FALSE)</f>
        <v>#REF!</v>
      </c>
      <c r="Z264">
        <v>325746</v>
      </c>
    </row>
    <row r="265" spans="1:26" x14ac:dyDescent="0.25">
      <c r="A265" s="25">
        <v>22729</v>
      </c>
      <c r="B265" s="25" t="s">
        <v>306</v>
      </c>
      <c r="C265" s="26">
        <v>86815</v>
      </c>
      <c r="D265" s="27">
        <v>600023743.30700004</v>
      </c>
      <c r="E265" s="27">
        <v>220982238.83500004</v>
      </c>
      <c r="F265" s="27">
        <v>379041504.472</v>
      </c>
      <c r="G265" s="27">
        <f>VLOOKUP(A265,'[1]saldos al 26May26'!$C$2:$I$1010,7,FALSE)</f>
        <v>-30443526.75</v>
      </c>
      <c r="H265" s="27"/>
      <c r="I265" s="28"/>
      <c r="J265" s="29"/>
      <c r="K265" s="25" t="s">
        <v>40</v>
      </c>
      <c r="L265" s="25" t="s">
        <v>30</v>
      </c>
      <c r="M265" s="25" t="s">
        <v>59</v>
      </c>
      <c r="N265" s="25" t="s">
        <v>41</v>
      </c>
      <c r="O265" t="s">
        <v>41</v>
      </c>
      <c r="P265" s="32">
        <v>-3011883.13</v>
      </c>
      <c r="Q265" s="30">
        <v>111520</v>
      </c>
      <c r="R265" s="30"/>
      <c r="S265" s="30" t="s">
        <v>33</v>
      </c>
      <c r="T265" t="s">
        <v>33</v>
      </c>
      <c r="U265" s="31" t="s">
        <v>33</v>
      </c>
      <c r="V265" t="s">
        <v>33</v>
      </c>
      <c r="Y265" t="e">
        <f>VLOOKUP(A265,[2]!PRGX[[#All],[Proveedor]],1,FALSE)</f>
        <v>#REF!</v>
      </c>
    </row>
    <row r="266" spans="1:26" x14ac:dyDescent="0.25">
      <c r="A266" s="25">
        <v>313353</v>
      </c>
      <c r="B266" s="25" t="s">
        <v>307</v>
      </c>
      <c r="C266" s="26">
        <v>30978</v>
      </c>
      <c r="D266" s="27">
        <v>593630995.88999999</v>
      </c>
      <c r="E266" s="27">
        <v>508396596.58999997</v>
      </c>
      <c r="F266" s="27">
        <v>85234399.299999997</v>
      </c>
      <c r="G266" s="27">
        <f>VLOOKUP(A266,'[1]saldos al 26May26'!$C$2:$I$1010,7,FALSE)</f>
        <v>-8549372.5500000007</v>
      </c>
      <c r="H266" s="27"/>
      <c r="I266" s="28" t="s">
        <v>27</v>
      </c>
      <c r="J266" s="29"/>
      <c r="K266" s="25" t="s">
        <v>29</v>
      </c>
      <c r="L266" s="25" t="s">
        <v>30</v>
      </c>
      <c r="M266" s="25" t="s">
        <v>31</v>
      </c>
      <c r="N266" s="25"/>
      <c r="O266" t="s">
        <v>87</v>
      </c>
      <c r="P266" s="32">
        <v>-1723979.18</v>
      </c>
      <c r="Q266" s="30">
        <v>992604.13</v>
      </c>
      <c r="R266" s="30"/>
      <c r="S266" s="30">
        <v>0</v>
      </c>
      <c r="T266" t="s">
        <v>33</v>
      </c>
      <c r="U266" s="31" t="e">
        <v>#N/A</v>
      </c>
      <c r="V266" t="s">
        <v>34</v>
      </c>
      <c r="Y266" t="e">
        <f>VLOOKUP(A266,[2]!PRGX[[#All],[Proveedor]],1,FALSE)</f>
        <v>#REF!</v>
      </c>
      <c r="Z266">
        <v>313353</v>
      </c>
    </row>
    <row r="267" spans="1:26" x14ac:dyDescent="0.25">
      <c r="A267" s="52">
        <v>1363</v>
      </c>
      <c r="B267" s="52" t="s">
        <v>308</v>
      </c>
      <c r="C267" s="53">
        <v>13995</v>
      </c>
      <c r="D267" s="54">
        <v>582493163.88849998</v>
      </c>
      <c r="E267" s="27">
        <v>463755181.75899994</v>
      </c>
      <c r="F267" s="27">
        <v>118737982.1295</v>
      </c>
      <c r="G267" s="54">
        <f>VLOOKUP(A267,'[1]saldos al 26May26'!$C$2:$I$1010,7,FALSE)</f>
        <v>-10704277.18</v>
      </c>
      <c r="H267" s="54"/>
      <c r="I267" s="55"/>
      <c r="J267" s="56"/>
      <c r="K267" s="52" t="s">
        <v>40</v>
      </c>
      <c r="L267" s="52" t="s">
        <v>30</v>
      </c>
      <c r="M267" s="52" t="s">
        <v>59</v>
      </c>
      <c r="N267" s="52" t="s">
        <v>32</v>
      </c>
      <c r="O267" s="57" t="s">
        <v>32</v>
      </c>
      <c r="P267" s="58">
        <v>325530.14</v>
      </c>
      <c r="Q267" s="58">
        <v>2202738.2999999998</v>
      </c>
      <c r="R267" s="30"/>
      <c r="S267" s="30" t="s">
        <v>33</v>
      </c>
      <c r="T267" s="57" t="s">
        <v>33</v>
      </c>
      <c r="U267" s="31" t="s">
        <v>33</v>
      </c>
      <c r="V267" t="s">
        <v>33</v>
      </c>
      <c r="Y267" t="e">
        <f>VLOOKUP(A267,[2]!PRGX[[#All],[Proveedor]],1,FALSE)</f>
        <v>#REF!</v>
      </c>
    </row>
    <row r="268" spans="1:26" x14ac:dyDescent="0.25">
      <c r="A268" s="25">
        <v>21646</v>
      </c>
      <c r="B268" s="25" t="s">
        <v>309</v>
      </c>
      <c r="C268" s="26">
        <v>43283</v>
      </c>
      <c r="D268" s="27">
        <v>582224394.65919995</v>
      </c>
      <c r="E268" s="27">
        <v>298673092.40019995</v>
      </c>
      <c r="F268" s="27">
        <v>283551302.259</v>
      </c>
      <c r="G268" s="27">
        <f>VLOOKUP(A268,'[1]saldos al 26May26'!$C$2:$I$1010,7,FALSE)</f>
        <v>-5124874.6399999997</v>
      </c>
      <c r="H268" s="27"/>
      <c r="I268" s="28"/>
      <c r="J268" s="29"/>
      <c r="K268" s="25" t="s">
        <v>40</v>
      </c>
      <c r="L268" s="25" t="s">
        <v>30</v>
      </c>
      <c r="M268" s="25" t="s">
        <v>59</v>
      </c>
      <c r="N268" s="25" t="s">
        <v>41</v>
      </c>
      <c r="O268" t="s">
        <v>41</v>
      </c>
      <c r="P268" s="32">
        <v>-421346.12</v>
      </c>
      <c r="Q268" s="30">
        <v>1927782.08</v>
      </c>
      <c r="R268" s="30"/>
      <c r="S268" s="30">
        <v>0</v>
      </c>
      <c r="T268" t="s">
        <v>33</v>
      </c>
      <c r="U268" s="31" t="e">
        <v>#N/A</v>
      </c>
      <c r="V268" t="s">
        <v>34</v>
      </c>
      <c r="Y268" t="e">
        <f>VLOOKUP(A268,[2]!PRGX[[#All],[Proveedor]],1,FALSE)</f>
        <v>#REF!</v>
      </c>
    </row>
    <row r="269" spans="1:26" x14ac:dyDescent="0.25">
      <c r="A269" s="25">
        <v>5629</v>
      </c>
      <c r="B269" s="25" t="s">
        <v>310</v>
      </c>
      <c r="C269" s="26">
        <v>37114</v>
      </c>
      <c r="D269" s="27">
        <v>575457840.46000004</v>
      </c>
      <c r="E269" s="27">
        <v>471265897.70000005</v>
      </c>
      <c r="F269" s="27">
        <v>104191942.76000001</v>
      </c>
      <c r="G269" s="27">
        <f>VLOOKUP(A269,'[1]saldos al 26May26'!$C$2:$I$1010,7,FALSE)</f>
        <v>-15098691.82</v>
      </c>
      <c r="H269" s="27"/>
      <c r="I269" s="28"/>
      <c r="J269" s="29"/>
      <c r="K269" s="25" t="s">
        <v>40</v>
      </c>
      <c r="L269" s="25" t="s">
        <v>30</v>
      </c>
      <c r="M269" s="25" t="s">
        <v>59</v>
      </c>
      <c r="N269" s="25" t="s">
        <v>32</v>
      </c>
      <c r="O269" t="s">
        <v>32</v>
      </c>
      <c r="P269" s="30">
        <v>1274375.0299999998</v>
      </c>
      <c r="Q269" s="30">
        <v>1139233.47</v>
      </c>
      <c r="R269" s="30">
        <v>243312</v>
      </c>
      <c r="S269" s="30" t="s">
        <v>33</v>
      </c>
      <c r="T269" t="s">
        <v>33</v>
      </c>
      <c r="U269" s="31" t="s">
        <v>33</v>
      </c>
      <c r="V269" t="s">
        <v>33</v>
      </c>
      <c r="Y269" t="e">
        <f>VLOOKUP(A269,[2]!PRGX[[#All],[Proveedor]],1,FALSE)</f>
        <v>#REF!</v>
      </c>
    </row>
    <row r="270" spans="1:26" x14ac:dyDescent="0.25">
      <c r="A270" s="25">
        <v>82875</v>
      </c>
      <c r="B270" s="25" t="s">
        <v>311</v>
      </c>
      <c r="C270" s="26">
        <v>74090</v>
      </c>
      <c r="D270" s="27">
        <v>573962191.75999999</v>
      </c>
      <c r="E270" s="27">
        <v>530491372.90999997</v>
      </c>
      <c r="F270" s="27">
        <v>43470818.850000001</v>
      </c>
      <c r="G270" s="27">
        <f>VLOOKUP(A270,'[1]saldos al 26May26'!$C$2:$I$1010,7,FALSE)</f>
        <v>-7334714.0999999996</v>
      </c>
      <c r="H270" s="27"/>
      <c r="I270" s="28"/>
      <c r="J270" s="29">
        <v>1110110.6440908124</v>
      </c>
      <c r="K270" s="25" t="s">
        <v>40</v>
      </c>
      <c r="L270" s="25" t="s">
        <v>30</v>
      </c>
      <c r="M270" s="25" t="s">
        <v>59</v>
      </c>
      <c r="N270" s="25" t="s">
        <v>87</v>
      </c>
      <c r="O270" t="s">
        <v>87</v>
      </c>
      <c r="P270" s="30">
        <v>3883318.5900000003</v>
      </c>
      <c r="Q270" s="30">
        <v>0</v>
      </c>
      <c r="R270" s="30"/>
      <c r="S270" s="30" t="s">
        <v>63</v>
      </c>
      <c r="T270" t="s">
        <v>33</v>
      </c>
      <c r="U270" s="31" t="s">
        <v>33</v>
      </c>
      <c r="V270" t="s">
        <v>33</v>
      </c>
      <c r="Y270" t="e">
        <f>VLOOKUP(A270,[2]!PRGX[[#All],[Proveedor]],1,FALSE)</f>
        <v>#REF!</v>
      </c>
    </row>
    <row r="271" spans="1:26" x14ac:dyDescent="0.25">
      <c r="A271" s="25">
        <v>17288</v>
      </c>
      <c r="B271" s="25" t="s">
        <v>312</v>
      </c>
      <c r="C271" s="26">
        <v>102834</v>
      </c>
      <c r="D271" s="27">
        <v>572225740.33060002</v>
      </c>
      <c r="E271" s="27">
        <v>477291975.21240002</v>
      </c>
      <c r="F271" s="27">
        <v>94933765.118200004</v>
      </c>
      <c r="G271" s="27">
        <f>VLOOKUP(A271,'[1]saldos al 26May26'!$C$2:$I$1010,7,FALSE)</f>
        <v>-7832630.7300000004</v>
      </c>
      <c r="H271" s="27"/>
      <c r="I271" s="28"/>
      <c r="J271" s="29"/>
      <c r="K271" s="25" t="s">
        <v>40</v>
      </c>
      <c r="L271" s="25" t="s">
        <v>30</v>
      </c>
      <c r="M271" s="25" t="s">
        <v>59</v>
      </c>
      <c r="N271" s="25" t="s">
        <v>96</v>
      </c>
      <c r="O271" t="s">
        <v>96</v>
      </c>
      <c r="P271" s="32">
        <v>-113478.54999999999</v>
      </c>
      <c r="Q271" s="30">
        <v>101966.45</v>
      </c>
      <c r="R271" s="30"/>
      <c r="S271" s="30">
        <v>0</v>
      </c>
      <c r="T271" t="s">
        <v>42</v>
      </c>
      <c r="U271" s="31" t="e">
        <v>#N/A</v>
      </c>
      <c r="V271" t="s">
        <v>34</v>
      </c>
      <c r="Y271" t="e">
        <f>VLOOKUP(A271,[2]!PRGX[[#All],[Proveedor]],1,FALSE)</f>
        <v>#REF!</v>
      </c>
    </row>
    <row r="272" spans="1:26" x14ac:dyDescent="0.25">
      <c r="A272" s="36">
        <v>310698</v>
      </c>
      <c r="B272" s="36" t="s">
        <v>313</v>
      </c>
      <c r="C272" s="37">
        <v>31435</v>
      </c>
      <c r="D272" s="38">
        <v>565712874.5</v>
      </c>
      <c r="E272" s="38">
        <v>532499939.5</v>
      </c>
      <c r="F272" s="38">
        <v>33212935</v>
      </c>
      <c r="G272" s="38">
        <f>VLOOKUP(A272,'[1]saldos al 26May26'!$C$2:$I$1010,7,FALSE)</f>
        <v>0</v>
      </c>
      <c r="H272" s="39" t="s">
        <v>54</v>
      </c>
      <c r="I272" s="40"/>
      <c r="J272" s="41"/>
      <c r="K272" s="36" t="s">
        <v>29</v>
      </c>
      <c r="L272" s="36" t="s">
        <v>30</v>
      </c>
      <c r="M272" s="36" t="s">
        <v>55</v>
      </c>
      <c r="N272" s="25"/>
      <c r="O272" s="42" t="s">
        <v>70</v>
      </c>
      <c r="P272" s="32">
        <v>-819783.51</v>
      </c>
      <c r="Q272" s="30">
        <v>187776</v>
      </c>
      <c r="R272" s="30">
        <v>590034.54999999993</v>
      </c>
      <c r="S272" s="30">
        <v>0</v>
      </c>
      <c r="T272" t="s">
        <v>33</v>
      </c>
      <c r="U272" s="31" t="e">
        <v>#N/A</v>
      </c>
      <c r="V272" t="s">
        <v>34</v>
      </c>
      <c r="Y272" t="e">
        <f>VLOOKUP(A272,[2]!PRGX[[#All],[Proveedor]],1,FALSE)</f>
        <v>#REF!</v>
      </c>
    </row>
    <row r="273" spans="1:26" x14ac:dyDescent="0.25">
      <c r="A273" s="25">
        <v>3137</v>
      </c>
      <c r="B273" s="25" t="s">
        <v>314</v>
      </c>
      <c r="C273" s="26">
        <v>3465</v>
      </c>
      <c r="D273" s="27">
        <v>560245851</v>
      </c>
      <c r="E273" s="27">
        <v>408938625</v>
      </c>
      <c r="F273" s="27">
        <v>151307226</v>
      </c>
      <c r="G273" s="27">
        <f>VLOOKUP(A273,'[1]saldos al 26May26'!$C$2:$I$1010,7,FALSE)</f>
        <v>-43252218.710000001</v>
      </c>
      <c r="H273" s="27"/>
      <c r="I273" s="28"/>
      <c r="J273" s="29"/>
      <c r="K273" s="25" t="s">
        <v>29</v>
      </c>
      <c r="L273" s="25" t="s">
        <v>30</v>
      </c>
      <c r="M273" s="25" t="s">
        <v>59</v>
      </c>
      <c r="N273" s="25"/>
      <c r="O273" t="s">
        <v>47</v>
      </c>
      <c r="P273" s="32">
        <v>-177560.03999999998</v>
      </c>
      <c r="Q273" s="30">
        <v>0</v>
      </c>
      <c r="R273" s="30"/>
      <c r="S273" s="30" t="s">
        <v>63</v>
      </c>
      <c r="T273" t="s">
        <v>33</v>
      </c>
      <c r="U273" s="31">
        <v>0</v>
      </c>
      <c r="V273" t="s">
        <v>42</v>
      </c>
      <c r="Y273" t="e">
        <f>VLOOKUP(A273,[2]!PRGX[[#All],[Proveedor]],1,FALSE)</f>
        <v>#REF!</v>
      </c>
    </row>
    <row r="274" spans="1:26" x14ac:dyDescent="0.25">
      <c r="A274" s="25">
        <v>12728</v>
      </c>
      <c r="B274" s="25" t="s">
        <v>315</v>
      </c>
      <c r="C274" s="26">
        <v>5392</v>
      </c>
      <c r="D274" s="27">
        <v>557754841.63</v>
      </c>
      <c r="E274" s="27">
        <v>495812552.18199998</v>
      </c>
      <c r="F274" s="27">
        <v>61942289.447999999</v>
      </c>
      <c r="G274" s="27">
        <f>VLOOKUP(A274,'[1]saldos al 26May26'!$C$2:$I$1010,7,FALSE)</f>
        <v>-3929488.92</v>
      </c>
      <c r="H274" s="27"/>
      <c r="I274" s="28"/>
      <c r="J274" s="29"/>
      <c r="K274" s="25" t="s">
        <v>40</v>
      </c>
      <c r="L274" s="25" t="s">
        <v>30</v>
      </c>
      <c r="M274" s="25" t="s">
        <v>61</v>
      </c>
      <c r="N274" s="25" t="s">
        <v>41</v>
      </c>
      <c r="O274" t="s">
        <v>41</v>
      </c>
      <c r="P274" s="32">
        <v>-3341115.56</v>
      </c>
      <c r="Q274" s="30">
        <v>3481796.21</v>
      </c>
      <c r="R274" s="30"/>
      <c r="S274" s="30" t="s">
        <v>33</v>
      </c>
      <c r="T274" t="s">
        <v>33</v>
      </c>
      <c r="U274" s="31" t="e">
        <v>#N/A</v>
      </c>
      <c r="V274" t="s">
        <v>33</v>
      </c>
      <c r="Y274" t="e">
        <f>VLOOKUP(A274,[2]!PRGX[[#All],[Proveedor]],1,FALSE)</f>
        <v>#REF!</v>
      </c>
    </row>
    <row r="275" spans="1:26" x14ac:dyDescent="0.25">
      <c r="A275" s="52">
        <v>81422</v>
      </c>
      <c r="B275" s="52" t="s">
        <v>316</v>
      </c>
      <c r="C275" s="53">
        <v>66906</v>
      </c>
      <c r="D275" s="54">
        <v>554222793.13999999</v>
      </c>
      <c r="E275" s="27">
        <v>453747578.95999998</v>
      </c>
      <c r="F275" s="27">
        <v>100475214.18000001</v>
      </c>
      <c r="G275" s="54">
        <f>VLOOKUP(A275,'[1]saldos al 26May26'!$C$2:$I$1010,7,FALSE)</f>
        <v>-39726447.619999997</v>
      </c>
      <c r="H275" s="54"/>
      <c r="I275" s="55"/>
      <c r="J275" s="56">
        <v>1254105.240590672</v>
      </c>
      <c r="K275" s="52" t="s">
        <v>40</v>
      </c>
      <c r="L275" s="52" t="s">
        <v>30</v>
      </c>
      <c r="M275" s="52" t="s">
        <v>59</v>
      </c>
      <c r="N275" s="52" t="s">
        <v>87</v>
      </c>
      <c r="O275" s="57" t="s">
        <v>87</v>
      </c>
      <c r="P275" s="59">
        <v>-230522.05</v>
      </c>
      <c r="Q275" s="58">
        <v>82412.33</v>
      </c>
      <c r="R275" s="30">
        <v>360000</v>
      </c>
      <c r="S275" s="30" t="e">
        <v>#N/A</v>
      </c>
      <c r="T275" s="57" t="s">
        <v>42</v>
      </c>
      <c r="U275" s="31">
        <v>0</v>
      </c>
      <c r="V275" s="57" t="s">
        <v>34</v>
      </c>
      <c r="X275" t="s">
        <v>43</v>
      </c>
      <c r="Y275" t="e">
        <f>VLOOKUP(A275,[2]!PRGX[[#All],[Proveedor]],1,FALSE)</f>
        <v>#REF!</v>
      </c>
    </row>
    <row r="276" spans="1:26" x14ac:dyDescent="0.25">
      <c r="A276" s="25">
        <v>85902</v>
      </c>
      <c r="B276" s="25" t="s">
        <v>317</v>
      </c>
      <c r="C276" s="26">
        <v>26016</v>
      </c>
      <c r="D276" s="27">
        <v>551285392.77999997</v>
      </c>
      <c r="E276" s="27">
        <v>446687512.96999997</v>
      </c>
      <c r="F276" s="27">
        <v>104597879.81</v>
      </c>
      <c r="G276" s="27">
        <f>VLOOKUP(A276,'[1]saldos al 26May26'!$C$2:$I$1010,7,FALSE)</f>
        <v>-45418837.979999997</v>
      </c>
      <c r="H276" s="27"/>
      <c r="I276" s="28"/>
      <c r="J276" s="29"/>
      <c r="K276" s="25" t="s">
        <v>29</v>
      </c>
      <c r="L276" s="25" t="s">
        <v>30</v>
      </c>
      <c r="M276" s="25" t="s">
        <v>59</v>
      </c>
      <c r="N276" s="25"/>
      <c r="O276" t="s">
        <v>38</v>
      </c>
      <c r="P276" s="32">
        <v>-3292300.3200000003</v>
      </c>
      <c r="Q276" s="30">
        <v>1824617.96</v>
      </c>
      <c r="R276" s="30"/>
      <c r="S276" s="30">
        <v>0</v>
      </c>
      <c r="T276" t="s">
        <v>33</v>
      </c>
      <c r="U276" s="31">
        <v>0</v>
      </c>
      <c r="V276" t="s">
        <v>42</v>
      </c>
      <c r="Y276" t="e">
        <f>VLOOKUP(A276,[2]!PRGX[[#All],[Proveedor]],1,FALSE)</f>
        <v>#REF!</v>
      </c>
    </row>
    <row r="277" spans="1:26" x14ac:dyDescent="0.25">
      <c r="A277" s="25">
        <v>62646</v>
      </c>
      <c r="B277" s="25" t="s">
        <v>318</v>
      </c>
      <c r="C277" s="26">
        <v>1544181</v>
      </c>
      <c r="D277" s="27">
        <v>538655862.45490003</v>
      </c>
      <c r="E277" s="27">
        <v>438699350.79490006</v>
      </c>
      <c r="F277" s="27">
        <v>99956511.659999996</v>
      </c>
      <c r="G277" s="27">
        <f>VLOOKUP(A277,'[1]saldos al 26May26'!$C$2:$I$1010,7,FALSE)</f>
        <v>-9406837.6999999993</v>
      </c>
      <c r="H277" s="27"/>
      <c r="I277" s="28" t="s">
        <v>27</v>
      </c>
      <c r="J277" s="29"/>
      <c r="K277" s="25" t="s">
        <v>29</v>
      </c>
      <c r="L277" s="25" t="s">
        <v>30</v>
      </c>
      <c r="M277" s="25" t="s">
        <v>50</v>
      </c>
      <c r="N277" s="25"/>
      <c r="O277" t="s">
        <v>38</v>
      </c>
      <c r="P277" s="32">
        <v>-419772.27999999997</v>
      </c>
      <c r="Q277" s="30">
        <v>-41125.42</v>
      </c>
      <c r="R277" s="30"/>
      <c r="S277" s="30" t="s">
        <v>33</v>
      </c>
      <c r="T277" t="s">
        <v>33</v>
      </c>
      <c r="U277" s="31" t="e">
        <v>#N/A</v>
      </c>
      <c r="V277" t="s">
        <v>34</v>
      </c>
      <c r="Y277" t="e">
        <f>VLOOKUP(A277,[2]!PRGX[[#All],[Proveedor]],1,FALSE)</f>
        <v>#REF!</v>
      </c>
      <c r="Z277">
        <v>62646</v>
      </c>
    </row>
    <row r="278" spans="1:26" x14ac:dyDescent="0.25">
      <c r="A278" s="25">
        <v>393090</v>
      </c>
      <c r="B278" s="25" t="s">
        <v>319</v>
      </c>
      <c r="C278" s="26">
        <v>32247</v>
      </c>
      <c r="D278" s="27">
        <v>537846465.82000005</v>
      </c>
      <c r="E278" s="27">
        <v>440131688.15000004</v>
      </c>
      <c r="F278" s="27">
        <v>97714777.670000002</v>
      </c>
      <c r="G278" s="27">
        <f>VLOOKUP(A278,'[1]saldos al 26May26'!$C$2:$I$1010,7,FALSE)</f>
        <v>-16075231.6</v>
      </c>
      <c r="H278" s="27"/>
      <c r="I278" s="28"/>
      <c r="J278" s="29"/>
      <c r="K278" s="25" t="s">
        <v>29</v>
      </c>
      <c r="L278" s="25" t="s">
        <v>30</v>
      </c>
      <c r="M278" s="25" t="s">
        <v>59</v>
      </c>
      <c r="N278" s="25"/>
      <c r="O278" t="s">
        <v>70</v>
      </c>
      <c r="P278" s="32">
        <v>-111911.46</v>
      </c>
      <c r="Q278" s="30">
        <v>402255.98</v>
      </c>
      <c r="R278" s="30">
        <v>320753</v>
      </c>
      <c r="S278" s="30" t="s">
        <v>33</v>
      </c>
      <c r="T278" t="s">
        <v>33</v>
      </c>
      <c r="U278" s="31" t="s">
        <v>33</v>
      </c>
      <c r="V278" t="s">
        <v>33</v>
      </c>
      <c r="W278" s="42"/>
      <c r="Y278" t="e">
        <f>VLOOKUP(A278,[2]!PRGX[[#All],[Proveedor]],1,FALSE)</f>
        <v>#REF!</v>
      </c>
    </row>
    <row r="279" spans="1:26" x14ac:dyDescent="0.25">
      <c r="A279" s="25">
        <v>303974</v>
      </c>
      <c r="B279" s="25" t="s">
        <v>320</v>
      </c>
      <c r="C279" s="26">
        <v>59783</v>
      </c>
      <c r="D279" s="27">
        <v>537822306.02999997</v>
      </c>
      <c r="E279" s="27">
        <v>428272514.35999995</v>
      </c>
      <c r="F279" s="27">
        <v>109549791.67</v>
      </c>
      <c r="G279" s="27">
        <f>VLOOKUP(A279,'[1]saldos al 26May26'!$C$2:$I$1010,7,FALSE)</f>
        <v>-13347314.42</v>
      </c>
      <c r="H279" s="27"/>
      <c r="I279" s="28"/>
      <c r="J279" s="29"/>
      <c r="K279" s="25" t="s">
        <v>29</v>
      </c>
      <c r="L279" s="25" t="s">
        <v>30</v>
      </c>
      <c r="M279" s="25" t="s">
        <v>59</v>
      </c>
      <c r="N279" s="25"/>
      <c r="O279" t="s">
        <v>36</v>
      </c>
      <c r="P279" s="30">
        <v>10146442.520000001</v>
      </c>
      <c r="Q279" s="30">
        <v>536720.84</v>
      </c>
      <c r="R279" s="30">
        <v>125505.44</v>
      </c>
      <c r="S279" s="30" t="s">
        <v>63</v>
      </c>
      <c r="T279" t="s">
        <v>33</v>
      </c>
      <c r="U279" s="31" t="s">
        <v>33</v>
      </c>
      <c r="V279" t="s">
        <v>33</v>
      </c>
      <c r="Y279" t="e">
        <f>VLOOKUP(A279,[2]!PRGX[[#All],[Proveedor]],1,FALSE)</f>
        <v>#REF!</v>
      </c>
    </row>
    <row r="280" spans="1:26" x14ac:dyDescent="0.25">
      <c r="A280" s="25">
        <v>1632</v>
      </c>
      <c r="B280" s="25" t="s">
        <v>321</v>
      </c>
      <c r="C280" s="26">
        <v>43255</v>
      </c>
      <c r="D280" s="27">
        <v>537714131.44140005</v>
      </c>
      <c r="E280" s="27">
        <v>389712835.71000004</v>
      </c>
      <c r="F280" s="27">
        <v>148001295.73140001</v>
      </c>
      <c r="G280" s="27">
        <f>VLOOKUP(A280,'[1]saldos al 26May26'!$C$2:$I$1010,7,FALSE)</f>
        <v>-7379154.5599999996</v>
      </c>
      <c r="H280" s="27"/>
      <c r="I280" s="28" t="s">
        <v>27</v>
      </c>
      <c r="J280" s="29"/>
      <c r="K280" s="25" t="s">
        <v>29</v>
      </c>
      <c r="L280" s="25" t="s">
        <v>30</v>
      </c>
      <c r="M280" s="25" t="s">
        <v>59</v>
      </c>
      <c r="N280" s="25"/>
      <c r="O280" t="s">
        <v>36</v>
      </c>
      <c r="P280" s="32">
        <v>-3687730.26</v>
      </c>
      <c r="Q280" s="30">
        <v>346159.35999999999</v>
      </c>
      <c r="R280" s="30">
        <v>338608.36</v>
      </c>
      <c r="S280" s="30" t="s">
        <v>33</v>
      </c>
      <c r="T280" t="s">
        <v>33</v>
      </c>
      <c r="U280" s="31" t="s">
        <v>33</v>
      </c>
      <c r="V280" t="s">
        <v>33</v>
      </c>
      <c r="Y280" t="e">
        <f>VLOOKUP(A280,[2]!PRGX[[#All],[Proveedor]],1,FALSE)</f>
        <v>#REF!</v>
      </c>
      <c r="Z280">
        <v>1632</v>
      </c>
    </row>
    <row r="281" spans="1:26" x14ac:dyDescent="0.25">
      <c r="A281" s="25">
        <v>98327</v>
      </c>
      <c r="B281" s="25" t="s">
        <v>322</v>
      </c>
      <c r="C281" s="26">
        <v>5170</v>
      </c>
      <c r="D281" s="27">
        <v>535165807</v>
      </c>
      <c r="E281" s="27">
        <v>430218907</v>
      </c>
      <c r="F281" s="27">
        <v>104946900</v>
      </c>
      <c r="G281" s="27">
        <f>VLOOKUP(A281,'[1]saldos al 26May26'!$C$2:$I$1010,7,FALSE)</f>
        <v>-15616523.98</v>
      </c>
      <c r="H281" s="27"/>
      <c r="I281" s="28"/>
      <c r="J281" s="29"/>
      <c r="K281" s="25" t="s">
        <v>29</v>
      </c>
      <c r="L281" s="25" t="s">
        <v>30</v>
      </c>
      <c r="M281" s="25" t="s">
        <v>50</v>
      </c>
      <c r="N281" s="25"/>
      <c r="O281" t="s">
        <v>67</v>
      </c>
      <c r="P281" s="32">
        <v>-4308008.6500000004</v>
      </c>
      <c r="Q281" s="30">
        <v>335750.40000000002</v>
      </c>
      <c r="R281" s="30">
        <v>22905.63</v>
      </c>
      <c r="S281" s="30" t="s">
        <v>63</v>
      </c>
      <c r="T281" t="s">
        <v>33</v>
      </c>
      <c r="U281" s="31">
        <v>0</v>
      </c>
      <c r="V281" t="s">
        <v>42</v>
      </c>
      <c r="Y281" t="e">
        <f>VLOOKUP(A281,[2]!PRGX[[#All],[Proveedor]],1,FALSE)</f>
        <v>#REF!</v>
      </c>
    </row>
    <row r="282" spans="1:26" x14ac:dyDescent="0.25">
      <c r="A282" s="25">
        <v>301309</v>
      </c>
      <c r="B282" s="25" t="s">
        <v>323</v>
      </c>
      <c r="C282" s="26">
        <v>1140</v>
      </c>
      <c r="D282" s="27">
        <v>533369827.30000001</v>
      </c>
      <c r="E282" s="27">
        <v>352986076.80000001</v>
      </c>
      <c r="F282" s="27">
        <v>180383750.5</v>
      </c>
      <c r="G282" s="27">
        <f>VLOOKUP(A282,'[1]saldos al 26May26'!$C$2:$I$1010,7,FALSE)</f>
        <v>-15251935.5</v>
      </c>
      <c r="H282" s="27"/>
      <c r="I282" s="28" t="s">
        <v>27</v>
      </c>
      <c r="J282" s="29"/>
      <c r="K282" s="25" t="s">
        <v>29</v>
      </c>
      <c r="L282" s="25" t="s">
        <v>30</v>
      </c>
      <c r="M282" s="25" t="s">
        <v>50</v>
      </c>
      <c r="N282" s="25"/>
      <c r="O282" t="s">
        <v>32</v>
      </c>
      <c r="P282" s="32">
        <v>-695569.28</v>
      </c>
      <c r="Q282" s="30">
        <v>0</v>
      </c>
      <c r="R282" s="30"/>
      <c r="S282" s="30" t="s">
        <v>33</v>
      </c>
      <c r="T282" t="s">
        <v>33</v>
      </c>
      <c r="U282" s="31" t="e">
        <v>#N/A</v>
      </c>
      <c r="V282" t="s">
        <v>34</v>
      </c>
      <c r="Y282" t="e">
        <f>VLOOKUP(A282,[2]!PRGX[[#All],[Proveedor]],1,FALSE)</f>
        <v>#REF!</v>
      </c>
      <c r="Z282">
        <v>301309</v>
      </c>
    </row>
    <row r="283" spans="1:26" x14ac:dyDescent="0.25">
      <c r="A283" s="25">
        <v>11361</v>
      </c>
      <c r="B283" s="25" t="s">
        <v>324</v>
      </c>
      <c r="C283" s="26">
        <v>72852</v>
      </c>
      <c r="D283" s="27">
        <v>528638124.83999997</v>
      </c>
      <c r="E283" s="27">
        <v>445533671.17999995</v>
      </c>
      <c r="F283" s="27">
        <v>83104453.659999996</v>
      </c>
      <c r="G283" s="27">
        <f>VLOOKUP(A283,'[1]saldos al 26May26'!$C$2:$I$1010,7,FALSE)</f>
        <v>-5855262.4199999999</v>
      </c>
      <c r="H283" s="27"/>
      <c r="I283" s="28"/>
      <c r="J283" s="29"/>
      <c r="K283" s="25" t="s">
        <v>29</v>
      </c>
      <c r="L283" s="25" t="s">
        <v>30</v>
      </c>
      <c r="M283" s="25" t="s">
        <v>50</v>
      </c>
      <c r="N283" s="25"/>
      <c r="O283" t="s">
        <v>67</v>
      </c>
      <c r="P283" s="32">
        <v>-766484.59</v>
      </c>
      <c r="Q283" s="30">
        <v>1076428.3500000001</v>
      </c>
      <c r="R283" s="30">
        <v>2730424.33</v>
      </c>
      <c r="S283" s="30" t="s">
        <v>63</v>
      </c>
      <c r="T283" t="s">
        <v>33</v>
      </c>
      <c r="U283" s="31">
        <v>0</v>
      </c>
      <c r="V283" t="s">
        <v>42</v>
      </c>
      <c r="Y283" t="e">
        <f>VLOOKUP(A283,[2]!PRGX[[#All],[Proveedor]],1,FALSE)</f>
        <v>#REF!</v>
      </c>
    </row>
    <row r="284" spans="1:26" x14ac:dyDescent="0.25">
      <c r="A284" s="25">
        <v>340182</v>
      </c>
      <c r="B284" s="25" t="s">
        <v>325</v>
      </c>
      <c r="C284" s="26">
        <v>73234</v>
      </c>
      <c r="D284" s="27">
        <v>527281959.61000001</v>
      </c>
      <c r="E284" s="27">
        <v>406894883.09100002</v>
      </c>
      <c r="F284" s="27">
        <v>120387076.51899999</v>
      </c>
      <c r="G284" s="27">
        <f>VLOOKUP(A284,'[1]saldos al 26May26'!$C$2:$I$1010,7,FALSE)</f>
        <v>-8595255.5199999996</v>
      </c>
      <c r="H284" s="27"/>
      <c r="I284" s="28"/>
      <c r="J284" s="29"/>
      <c r="K284" s="25" t="s">
        <v>29</v>
      </c>
      <c r="L284" s="25" t="s">
        <v>30</v>
      </c>
      <c r="M284" s="25" t="s">
        <v>59</v>
      </c>
      <c r="N284" s="25"/>
      <c r="O284" t="s">
        <v>38</v>
      </c>
      <c r="P284" s="30">
        <v>60007434.010000005</v>
      </c>
      <c r="Q284" s="30">
        <v>368463.05</v>
      </c>
      <c r="R284" s="30"/>
      <c r="S284" s="30">
        <v>0</v>
      </c>
      <c r="T284" t="s">
        <v>33</v>
      </c>
      <c r="U284" s="31" t="e">
        <v>#N/A</v>
      </c>
      <c r="V284" t="s">
        <v>34</v>
      </c>
      <c r="Y284" t="e">
        <f>VLOOKUP(A284,[2]!PRGX[[#All],[Proveedor]],1,FALSE)</f>
        <v>#REF!</v>
      </c>
    </row>
    <row r="285" spans="1:26" x14ac:dyDescent="0.25">
      <c r="A285" s="25">
        <v>344150</v>
      </c>
      <c r="B285" s="25" t="s">
        <v>326</v>
      </c>
      <c r="C285" s="26">
        <v>8048</v>
      </c>
      <c r="D285" s="27">
        <v>524407739.32389998</v>
      </c>
      <c r="E285" s="27">
        <v>505269156.0729</v>
      </c>
      <c r="F285" s="27">
        <v>19138583.250999998</v>
      </c>
      <c r="G285" s="27">
        <f>VLOOKUP(A285,'[1]saldos al 26May26'!$C$2:$I$1010,7,FALSE)</f>
        <v>-5671205.0800000001</v>
      </c>
      <c r="H285" s="27"/>
      <c r="I285" s="28"/>
      <c r="J285" s="29"/>
      <c r="K285" s="25" t="s">
        <v>29</v>
      </c>
      <c r="L285" s="25" t="s">
        <v>30</v>
      </c>
      <c r="M285" s="25" t="s">
        <v>59</v>
      </c>
      <c r="N285" s="25"/>
      <c r="O285" s="43" t="s">
        <v>41</v>
      </c>
      <c r="P285" s="30">
        <v>851078.89</v>
      </c>
      <c r="Q285" s="30">
        <v>110000</v>
      </c>
      <c r="R285" s="30">
        <v>7452</v>
      </c>
      <c r="S285" s="30" t="s">
        <v>33</v>
      </c>
      <c r="T285" t="s">
        <v>33</v>
      </c>
      <c r="U285" s="31" t="e">
        <v>#N/A</v>
      </c>
      <c r="V285" t="s">
        <v>34</v>
      </c>
      <c r="Y285" t="e">
        <f>VLOOKUP(A285,[2]!PRGX[[#All],[Proveedor]],1,FALSE)</f>
        <v>#REF!</v>
      </c>
    </row>
    <row r="286" spans="1:26" x14ac:dyDescent="0.25">
      <c r="A286" s="25">
        <v>11621</v>
      </c>
      <c r="B286" s="25" t="s">
        <v>327</v>
      </c>
      <c r="C286" s="26">
        <v>417</v>
      </c>
      <c r="D286" s="27">
        <v>524379736.88999999</v>
      </c>
      <c r="E286" s="27">
        <v>314361528.28999996</v>
      </c>
      <c r="F286" s="27">
        <v>210018208.59999999</v>
      </c>
      <c r="G286" s="27">
        <f>VLOOKUP(A286,'[1]saldos al 26May26'!$C$2:$I$1010,7,FALSE)</f>
        <v>-21020622.16</v>
      </c>
      <c r="H286" s="27"/>
      <c r="I286" s="28" t="s">
        <v>27</v>
      </c>
      <c r="J286" s="29"/>
      <c r="K286" s="25" t="s">
        <v>29</v>
      </c>
      <c r="L286" s="25" t="s">
        <v>30</v>
      </c>
      <c r="M286" s="25" t="s">
        <v>31</v>
      </c>
      <c r="N286" s="25"/>
      <c r="O286" t="s">
        <v>51</v>
      </c>
      <c r="P286" s="32">
        <v>-846536.67999999993</v>
      </c>
      <c r="Q286" s="30">
        <v>0</v>
      </c>
      <c r="R286" s="30"/>
      <c r="S286" s="30" t="s">
        <v>63</v>
      </c>
      <c r="T286" t="s">
        <v>33</v>
      </c>
      <c r="U286" s="31" t="e">
        <v>#N/A</v>
      </c>
      <c r="V286" t="s">
        <v>34</v>
      </c>
      <c r="Y286" t="e">
        <f>VLOOKUP(A286,[2]!PRGX[[#All],[Proveedor]],1,FALSE)</f>
        <v>#REF!</v>
      </c>
      <c r="Z286">
        <v>11621</v>
      </c>
    </row>
    <row r="287" spans="1:26" x14ac:dyDescent="0.25">
      <c r="A287" s="25">
        <v>51987</v>
      </c>
      <c r="B287" s="25" t="s">
        <v>328</v>
      </c>
      <c r="C287" s="26">
        <v>81915</v>
      </c>
      <c r="D287" s="27">
        <v>521462474.15200001</v>
      </c>
      <c r="E287" s="27">
        <v>453797535.57200003</v>
      </c>
      <c r="F287" s="27">
        <v>67664938.579999998</v>
      </c>
      <c r="G287" s="27">
        <f>VLOOKUP(A287,'[1]saldos al 26May26'!$C$2:$I$1010,7,FALSE)</f>
        <v>-16399193.210000001</v>
      </c>
      <c r="H287" s="27"/>
      <c r="I287" s="28"/>
      <c r="J287" s="29"/>
      <c r="K287" s="25" t="s">
        <v>29</v>
      </c>
      <c r="L287" s="25" t="s">
        <v>30</v>
      </c>
      <c r="M287" s="25" t="s">
        <v>59</v>
      </c>
      <c r="N287" s="25"/>
      <c r="O287" t="s">
        <v>36</v>
      </c>
      <c r="P287" s="30">
        <v>53015055.519999996</v>
      </c>
      <c r="Q287" s="30">
        <v>989086.28</v>
      </c>
      <c r="R287" s="30"/>
      <c r="S287" s="30" t="s">
        <v>63</v>
      </c>
      <c r="T287" t="s">
        <v>33</v>
      </c>
      <c r="U287" s="31">
        <v>0</v>
      </c>
      <c r="V287" t="s">
        <v>42</v>
      </c>
      <c r="Y287" t="e">
        <f>VLOOKUP(A287,[2]!PRGX[[#All],[Proveedor]],1,FALSE)</f>
        <v>#REF!</v>
      </c>
    </row>
    <row r="288" spans="1:26" x14ac:dyDescent="0.25">
      <c r="A288" s="25">
        <v>318196</v>
      </c>
      <c r="B288" s="25" t="s">
        <v>329</v>
      </c>
      <c r="C288" s="26">
        <v>31830</v>
      </c>
      <c r="D288" s="27">
        <v>180762660.46000001</v>
      </c>
      <c r="E288" s="27">
        <v>140927423.34</v>
      </c>
      <c r="F288" s="27">
        <v>39835237.119999997</v>
      </c>
      <c r="G288" s="27">
        <f>VLOOKUP(A288,'[1]saldos al 26May26'!$C$2:$I$1010,7,FALSE)</f>
        <v>-19161589.82</v>
      </c>
      <c r="H288" s="27"/>
      <c r="I288" s="28"/>
      <c r="J288" s="29">
        <v>228211.5995471745</v>
      </c>
      <c r="K288" s="25" t="s">
        <v>40</v>
      </c>
      <c r="L288" s="25" t="s">
        <v>30</v>
      </c>
      <c r="M288" s="25" t="s">
        <v>50</v>
      </c>
      <c r="N288" s="25" t="s">
        <v>56</v>
      </c>
      <c r="O288" t="s">
        <v>56</v>
      </c>
      <c r="P288" s="32">
        <v>-51087.79</v>
      </c>
      <c r="Q288" s="30">
        <v>-818.72</v>
      </c>
      <c r="R288" s="30">
        <v>2778243.69</v>
      </c>
      <c r="S288" s="30" t="e">
        <v>#N/A</v>
      </c>
      <c r="T288" t="s">
        <v>34</v>
      </c>
      <c r="U288" s="31">
        <v>0</v>
      </c>
      <c r="V288" t="s">
        <v>42</v>
      </c>
      <c r="Y288" t="e">
        <f>VLOOKUP(A288,[2]!PRGX[[#All],[Proveedor]],1,FALSE)</f>
        <v>#REF!</v>
      </c>
    </row>
    <row r="289" spans="1:26" x14ac:dyDescent="0.25">
      <c r="A289" s="25">
        <v>304060</v>
      </c>
      <c r="B289" s="25" t="s">
        <v>330</v>
      </c>
      <c r="C289" s="26">
        <v>45934</v>
      </c>
      <c r="D289" s="27">
        <v>515602084.53860003</v>
      </c>
      <c r="E289" s="27">
        <v>358040285.39700001</v>
      </c>
      <c r="F289" s="27">
        <v>157561799.14160001</v>
      </c>
      <c r="G289" s="27">
        <f>VLOOKUP(A289,'[1]saldos al 26May26'!$C$2:$I$1010,7,FALSE)</f>
        <v>-3192268.21</v>
      </c>
      <c r="H289" s="27"/>
      <c r="I289" s="28" t="s">
        <v>27</v>
      </c>
      <c r="J289" s="29"/>
      <c r="K289" s="25" t="s">
        <v>29</v>
      </c>
      <c r="L289" s="25" t="s">
        <v>30</v>
      </c>
      <c r="M289" s="25" t="s">
        <v>31</v>
      </c>
      <c r="N289" s="25"/>
      <c r="O289" t="s">
        <v>47</v>
      </c>
      <c r="P289" s="32">
        <v>-731462.25</v>
      </c>
      <c r="Q289" s="30">
        <v>3240070.54</v>
      </c>
      <c r="R289" s="30"/>
      <c r="S289" s="30" t="s">
        <v>33</v>
      </c>
      <c r="T289" t="s">
        <v>33</v>
      </c>
      <c r="U289" s="31" t="e">
        <v>#N/A</v>
      </c>
      <c r="V289" t="s">
        <v>34</v>
      </c>
      <c r="Y289" t="e">
        <f>VLOOKUP(A289,[2]!PRGX[[#All],[Proveedor]],1,FALSE)</f>
        <v>#REF!</v>
      </c>
      <c r="Z289">
        <v>304060</v>
      </c>
    </row>
    <row r="290" spans="1:26" x14ac:dyDescent="0.25">
      <c r="A290" s="25">
        <v>77974</v>
      </c>
      <c r="B290" s="25" t="s">
        <v>331</v>
      </c>
      <c r="C290" s="26">
        <v>7389</v>
      </c>
      <c r="D290" s="27">
        <v>514546029.80000001</v>
      </c>
      <c r="E290" s="27">
        <v>414802011.38</v>
      </c>
      <c r="F290" s="27">
        <v>99744018.420000002</v>
      </c>
      <c r="G290" s="27">
        <f>VLOOKUP(A290,'[1]saldos al 26May26'!$C$2:$I$1010,7,FALSE)</f>
        <v>-27722613.579999998</v>
      </c>
      <c r="H290" s="27"/>
      <c r="I290" s="28"/>
      <c r="J290" s="29"/>
      <c r="K290" s="25" t="s">
        <v>29</v>
      </c>
      <c r="L290" s="25" t="s">
        <v>30</v>
      </c>
      <c r="M290" s="25" t="s">
        <v>50</v>
      </c>
      <c r="N290" s="25"/>
      <c r="O290" t="s">
        <v>45</v>
      </c>
      <c r="P290" s="32">
        <v>-354350.77</v>
      </c>
      <c r="Q290" s="30">
        <v>0</v>
      </c>
      <c r="R290" s="30">
        <v>12000</v>
      </c>
      <c r="S290" s="30" t="s">
        <v>63</v>
      </c>
      <c r="T290" t="s">
        <v>33</v>
      </c>
      <c r="U290" s="31" t="e">
        <v>#N/A</v>
      </c>
      <c r="V290" t="s">
        <v>34</v>
      </c>
      <c r="Y290" t="e">
        <f>VLOOKUP(A290,[2]!PRGX[[#All],[Proveedor]],1,FALSE)</f>
        <v>#REF!</v>
      </c>
    </row>
    <row r="291" spans="1:26" x14ac:dyDescent="0.25">
      <c r="A291" s="25">
        <v>13498</v>
      </c>
      <c r="B291" s="25" t="s">
        <v>332</v>
      </c>
      <c r="C291" s="26">
        <v>399</v>
      </c>
      <c r="D291" s="27">
        <v>511809943.34100002</v>
      </c>
      <c r="E291" s="27">
        <v>438435341.19500005</v>
      </c>
      <c r="F291" s="27">
        <v>73374602.145999998</v>
      </c>
      <c r="G291" s="27">
        <f>VLOOKUP(A291,'[1]saldos al 26May26'!$C$2:$I$1010,7,FALSE)</f>
        <v>-10326604.98</v>
      </c>
      <c r="H291" s="27"/>
      <c r="I291" s="28" t="s">
        <v>27</v>
      </c>
      <c r="J291" s="29"/>
      <c r="K291" s="25" t="s">
        <v>29</v>
      </c>
      <c r="L291" s="25" t="s">
        <v>30</v>
      </c>
      <c r="M291" s="25" t="s">
        <v>59</v>
      </c>
      <c r="N291" s="25"/>
      <c r="O291" t="s">
        <v>51</v>
      </c>
      <c r="P291" s="30">
        <v>2895141.1199999996</v>
      </c>
      <c r="Q291" s="30">
        <v>0</v>
      </c>
      <c r="R291" s="30"/>
      <c r="S291" s="30" t="s">
        <v>33</v>
      </c>
      <c r="T291" t="s">
        <v>33</v>
      </c>
      <c r="U291" s="31" t="e">
        <v>#N/A</v>
      </c>
      <c r="V291" t="s">
        <v>34</v>
      </c>
      <c r="Y291" t="e">
        <f>VLOOKUP(A291,[2]!PRGX[[#All],[Proveedor]],1,FALSE)</f>
        <v>#REF!</v>
      </c>
      <c r="Z291">
        <v>13498</v>
      </c>
    </row>
    <row r="292" spans="1:26" x14ac:dyDescent="0.25">
      <c r="A292" s="25">
        <v>24174</v>
      </c>
      <c r="B292" s="25" t="s">
        <v>333</v>
      </c>
      <c r="C292" s="26">
        <v>71001</v>
      </c>
      <c r="D292" s="27">
        <v>505235302.62</v>
      </c>
      <c r="E292" s="27">
        <v>421480183.62</v>
      </c>
      <c r="F292" s="27">
        <v>83755119</v>
      </c>
      <c r="G292" s="27">
        <f>VLOOKUP(A292,'[1]saldos al 26May26'!$C$2:$I$1010,7,FALSE)</f>
        <v>-12229059.109999999</v>
      </c>
      <c r="H292" s="27"/>
      <c r="I292" s="28"/>
      <c r="J292" s="29">
        <v>1645091.6441878709</v>
      </c>
      <c r="K292" s="25" t="s">
        <v>40</v>
      </c>
      <c r="L292" s="25" t="s">
        <v>30</v>
      </c>
      <c r="M292" s="25" t="s">
        <v>61</v>
      </c>
      <c r="N292" s="25" t="s">
        <v>38</v>
      </c>
      <c r="O292" t="s">
        <v>38</v>
      </c>
      <c r="P292" s="32">
        <v>-531329.81999999995</v>
      </c>
      <c r="Q292" s="30">
        <v>-1542.68</v>
      </c>
      <c r="R292" s="30">
        <v>236079.81</v>
      </c>
      <c r="S292" s="30" t="s">
        <v>63</v>
      </c>
      <c r="T292" t="s">
        <v>33</v>
      </c>
      <c r="U292" s="31" t="s">
        <v>33</v>
      </c>
      <c r="V292" t="s">
        <v>33</v>
      </c>
      <c r="Y292" t="e">
        <f>VLOOKUP(A292,[2]!PRGX[[#All],[Proveedor]],1,FALSE)</f>
        <v>#REF!</v>
      </c>
    </row>
    <row r="293" spans="1:26" x14ac:dyDescent="0.25">
      <c r="A293" s="25">
        <v>24927</v>
      </c>
      <c r="B293" s="25" t="s">
        <v>334</v>
      </c>
      <c r="C293" s="26">
        <v>38658</v>
      </c>
      <c r="D293" s="27">
        <v>502387647.17000002</v>
      </c>
      <c r="E293" s="27">
        <v>432577046.75999999</v>
      </c>
      <c r="F293" s="27">
        <v>69810600.409999996</v>
      </c>
      <c r="G293" s="27">
        <f>VLOOKUP(A293,'[1]saldos al 26May26'!$C$2:$I$1010,7,FALSE)</f>
        <v>-40906554.299999997</v>
      </c>
      <c r="H293" s="27"/>
      <c r="I293" s="28"/>
      <c r="J293" s="29">
        <v>2281446.4526027888</v>
      </c>
      <c r="K293" s="25" t="s">
        <v>40</v>
      </c>
      <c r="L293" s="25" t="s">
        <v>30</v>
      </c>
      <c r="M293" s="25" t="s">
        <v>59</v>
      </c>
      <c r="N293" s="25" t="s">
        <v>38</v>
      </c>
      <c r="O293" t="s">
        <v>38</v>
      </c>
      <c r="P293" s="30">
        <v>3859733.41</v>
      </c>
      <c r="Q293" s="30">
        <v>4711537.32</v>
      </c>
      <c r="R293" s="30">
        <v>1285795.1600000001</v>
      </c>
      <c r="S293" s="30" t="s">
        <v>63</v>
      </c>
      <c r="T293" t="s">
        <v>33</v>
      </c>
      <c r="U293" s="31" t="s">
        <v>33</v>
      </c>
      <c r="V293" t="s">
        <v>33</v>
      </c>
      <c r="Y293" t="e">
        <f>VLOOKUP(A293,[2]!PRGX[[#All],[Proveedor]],1,FALSE)</f>
        <v>#REF!</v>
      </c>
    </row>
    <row r="294" spans="1:26" x14ac:dyDescent="0.25">
      <c r="A294" s="52">
        <v>64840</v>
      </c>
      <c r="B294" s="52" t="s">
        <v>335</v>
      </c>
      <c r="C294" s="53">
        <v>141204</v>
      </c>
      <c r="D294" s="54">
        <v>500475147.04960001</v>
      </c>
      <c r="E294" s="54">
        <v>420018197.93620002</v>
      </c>
      <c r="F294" s="54">
        <v>80456949.113399997</v>
      </c>
      <c r="G294" s="54">
        <f>VLOOKUP(A294,'[1]saldos al 26May26'!$C$2:$I$1010,7,FALSE)</f>
        <v>-4731887.59</v>
      </c>
      <c r="H294" s="54"/>
      <c r="I294" s="55"/>
      <c r="J294" s="56">
        <v>474913.19331494701</v>
      </c>
      <c r="K294" s="52" t="s">
        <v>40</v>
      </c>
      <c r="L294" s="52" t="s">
        <v>30</v>
      </c>
      <c r="M294" s="52" t="s">
        <v>50</v>
      </c>
      <c r="N294" s="52" t="s">
        <v>47</v>
      </c>
      <c r="O294" s="57" t="s">
        <v>47</v>
      </c>
      <c r="P294" s="59">
        <v>-2144630.54</v>
      </c>
      <c r="Q294" s="58">
        <v>41619.46</v>
      </c>
      <c r="R294" s="30"/>
      <c r="S294" s="30" t="e">
        <v>#N/A</v>
      </c>
      <c r="T294" s="57" t="s">
        <v>34</v>
      </c>
      <c r="U294" s="31">
        <v>0</v>
      </c>
      <c r="V294" s="57" t="s">
        <v>42</v>
      </c>
      <c r="X294" t="s">
        <v>43</v>
      </c>
      <c r="Y294" t="e">
        <f>VLOOKUP(A294,[2]!PRGX[[#All],[Proveedor]],1,FALSE)</f>
        <v>#REF!</v>
      </c>
    </row>
    <row r="295" spans="1:26" x14ac:dyDescent="0.25">
      <c r="A295" s="36">
        <v>209943</v>
      </c>
      <c r="B295" s="36" t="s">
        <v>336</v>
      </c>
      <c r="C295" s="37">
        <v>4363</v>
      </c>
      <c r="D295" s="38">
        <v>490861551.37</v>
      </c>
      <c r="E295" s="38">
        <v>283042748.06999999</v>
      </c>
      <c r="F295" s="38">
        <v>207818803.30000001</v>
      </c>
      <c r="G295" s="38">
        <f>VLOOKUP(A295,'[1]saldos al 26May26'!$C$2:$I$1010,7,FALSE)</f>
        <v>0</v>
      </c>
      <c r="H295" s="39" t="s">
        <v>54</v>
      </c>
      <c r="I295" s="40"/>
      <c r="J295" s="41"/>
      <c r="K295" s="36" t="s">
        <v>40</v>
      </c>
      <c r="L295" s="36" t="s">
        <v>30</v>
      </c>
      <c r="M295" s="36" t="s">
        <v>55</v>
      </c>
      <c r="N295" s="25" t="s">
        <v>38</v>
      </c>
      <c r="O295" s="42" t="s">
        <v>38</v>
      </c>
      <c r="P295" s="32">
        <v>-20350.620000000003</v>
      </c>
      <c r="Q295" s="30">
        <v>8380781.9700000007</v>
      </c>
      <c r="R295" s="30"/>
      <c r="S295" s="30" t="s">
        <v>33</v>
      </c>
      <c r="T295" s="57" t="s">
        <v>33</v>
      </c>
      <c r="U295" s="31" t="s">
        <v>33</v>
      </c>
      <c r="V295" t="s">
        <v>33</v>
      </c>
      <c r="W295" s="42"/>
      <c r="Y295" t="e">
        <f>VLOOKUP(A295,[2]!PRGX[[#All],[Proveedor]],1,FALSE)</f>
        <v>#REF!</v>
      </c>
    </row>
    <row r="296" spans="1:26" x14ac:dyDescent="0.25">
      <c r="A296" s="25">
        <v>89102</v>
      </c>
      <c r="B296" s="25" t="s">
        <v>337</v>
      </c>
      <c r="C296" s="26">
        <v>11605</v>
      </c>
      <c r="D296" s="27">
        <v>483752080.64999998</v>
      </c>
      <c r="E296" s="27">
        <v>468096539.87</v>
      </c>
      <c r="F296" s="27">
        <v>15655540.779999999</v>
      </c>
      <c r="G296" s="27">
        <f>VLOOKUP(A296,'[1]saldos al 26May26'!$C$2:$I$1010,7,FALSE)</f>
        <v>-4102525.1</v>
      </c>
      <c r="H296" s="27"/>
      <c r="I296" s="28"/>
      <c r="J296" s="29"/>
      <c r="K296" s="25" t="s">
        <v>29</v>
      </c>
      <c r="L296" s="25" t="s">
        <v>30</v>
      </c>
      <c r="M296" s="25" t="s">
        <v>50</v>
      </c>
      <c r="N296" s="25"/>
      <c r="O296" t="s">
        <v>51</v>
      </c>
      <c r="P296" s="32">
        <v>-2371889.36</v>
      </c>
      <c r="Q296" s="30">
        <v>346344.22</v>
      </c>
      <c r="R296" s="30">
        <v>251209.65</v>
      </c>
      <c r="S296" s="30" t="s">
        <v>33</v>
      </c>
      <c r="T296" t="s">
        <v>33</v>
      </c>
      <c r="U296" s="31" t="e">
        <v>#N/A</v>
      </c>
      <c r="V296" t="s">
        <v>34</v>
      </c>
      <c r="Y296" t="e">
        <f>VLOOKUP(A296,[2]!PRGX[[#All],[Proveedor]],1,FALSE)</f>
        <v>#REF!</v>
      </c>
    </row>
    <row r="297" spans="1:26" x14ac:dyDescent="0.25">
      <c r="A297" s="25">
        <v>90159</v>
      </c>
      <c r="B297" s="25" t="s">
        <v>338</v>
      </c>
      <c r="C297" s="26">
        <v>35698</v>
      </c>
      <c r="D297" s="27">
        <v>482189260.60000002</v>
      </c>
      <c r="E297" s="27">
        <v>465946372.78000003</v>
      </c>
      <c r="F297" s="27">
        <v>16242887.82</v>
      </c>
      <c r="G297" s="27">
        <f>VLOOKUP(A297,'[1]saldos al 26May26'!$C$2:$I$1010,7,FALSE)</f>
        <v>-5142766.9000000004</v>
      </c>
      <c r="H297" s="27"/>
      <c r="I297" s="28"/>
      <c r="J297" s="29"/>
      <c r="K297" s="25" t="s">
        <v>29</v>
      </c>
      <c r="L297" s="25" t="s">
        <v>30</v>
      </c>
      <c r="M297" s="25" t="s">
        <v>31</v>
      </c>
      <c r="N297" s="25"/>
      <c r="O297" t="s">
        <v>32</v>
      </c>
      <c r="P297" s="32">
        <v>-657518.92999999993</v>
      </c>
      <c r="Q297" s="30">
        <v>367066.3</v>
      </c>
      <c r="R297" s="30">
        <v>69592.5</v>
      </c>
      <c r="S297" s="30" t="s">
        <v>63</v>
      </c>
      <c r="T297" t="s">
        <v>33</v>
      </c>
      <c r="U297" s="31" t="e">
        <v>#N/A</v>
      </c>
      <c r="V297" t="s">
        <v>34</v>
      </c>
      <c r="Y297" t="e">
        <f>VLOOKUP(A297,[2]!PRGX[[#All],[Proveedor]],1,FALSE)</f>
        <v>#REF!</v>
      </c>
    </row>
    <row r="298" spans="1:26" x14ac:dyDescent="0.25">
      <c r="A298" s="25">
        <v>21678</v>
      </c>
      <c r="B298" s="25" t="s">
        <v>339</v>
      </c>
      <c r="C298" s="26">
        <v>447</v>
      </c>
      <c r="D298" s="27">
        <v>481592895.884</v>
      </c>
      <c r="E298" s="27">
        <v>348299837.884</v>
      </c>
      <c r="F298" s="27">
        <v>133293058</v>
      </c>
      <c r="G298" s="27">
        <f>VLOOKUP(A298,'[1]saldos al 26May26'!$C$2:$I$1010,7,FALSE)</f>
        <v>-13192340.949999999</v>
      </c>
      <c r="H298" s="27"/>
      <c r="I298" s="28"/>
      <c r="J298" s="29"/>
      <c r="K298" s="25" t="s">
        <v>29</v>
      </c>
      <c r="L298" s="25" t="s">
        <v>30</v>
      </c>
      <c r="M298" s="25" t="s">
        <v>59</v>
      </c>
      <c r="N298" s="25"/>
      <c r="O298" t="s">
        <v>47</v>
      </c>
      <c r="P298" s="32">
        <v>-1357353.57</v>
      </c>
      <c r="Q298" s="30">
        <v>0</v>
      </c>
      <c r="R298" s="30"/>
      <c r="S298" s="30" t="s">
        <v>63</v>
      </c>
      <c r="T298" t="s">
        <v>33</v>
      </c>
      <c r="U298" s="31" t="e">
        <v>#N/A</v>
      </c>
      <c r="V298" t="s">
        <v>34</v>
      </c>
      <c r="Y298" t="e">
        <f>VLOOKUP(A298,[2]!PRGX[[#All],[Proveedor]],1,FALSE)</f>
        <v>#REF!</v>
      </c>
    </row>
    <row r="299" spans="1:26" x14ac:dyDescent="0.25">
      <c r="A299" s="25">
        <v>325258</v>
      </c>
      <c r="B299" s="25" t="s">
        <v>340</v>
      </c>
      <c r="C299" s="26">
        <v>26475</v>
      </c>
      <c r="D299" s="27">
        <v>481506208.5704</v>
      </c>
      <c r="E299" s="27">
        <v>414561771.89039999</v>
      </c>
      <c r="F299" s="27">
        <v>66944436.68</v>
      </c>
      <c r="G299" s="27">
        <f>VLOOKUP(A299,'[1]saldos al 26May26'!$C$2:$I$1010,7,FALSE)</f>
        <v>-16054943.039999999</v>
      </c>
      <c r="H299" s="27"/>
      <c r="I299" s="28"/>
      <c r="J299" s="29"/>
      <c r="K299" s="25" t="s">
        <v>29</v>
      </c>
      <c r="L299" s="25" t="s">
        <v>30</v>
      </c>
      <c r="M299" s="25" t="s">
        <v>59</v>
      </c>
      <c r="N299" s="25"/>
      <c r="O299" t="s">
        <v>80</v>
      </c>
      <c r="P299" s="32">
        <v>-1855680.0200000003</v>
      </c>
      <c r="Q299" s="30">
        <v>2872990.85</v>
      </c>
      <c r="R299" s="30"/>
      <c r="S299" s="30" t="s">
        <v>63</v>
      </c>
      <c r="T299" t="s">
        <v>33</v>
      </c>
      <c r="U299" s="31" t="s">
        <v>33</v>
      </c>
      <c r="V299" t="s">
        <v>33</v>
      </c>
      <c r="Y299" t="e">
        <f>VLOOKUP(A299,[2]!PRGX[[#All],[Proveedor]],1,FALSE)</f>
        <v>#REF!</v>
      </c>
    </row>
    <row r="300" spans="1:26" x14ac:dyDescent="0.25">
      <c r="A300" s="25">
        <v>308421</v>
      </c>
      <c r="B300" s="25" t="s">
        <v>341</v>
      </c>
      <c r="C300" s="26">
        <v>36867</v>
      </c>
      <c r="D300" s="27">
        <v>481194121.20999998</v>
      </c>
      <c r="E300" s="27">
        <v>427949839.54999995</v>
      </c>
      <c r="F300" s="27">
        <v>53244281.659999996</v>
      </c>
      <c r="G300" s="27">
        <f>VLOOKUP(A300,'[1]saldos al 26May26'!$C$2:$I$1010,7,FALSE)</f>
        <v>-43533486.390000001</v>
      </c>
      <c r="H300" s="27"/>
      <c r="I300" s="28"/>
      <c r="J300" s="29"/>
      <c r="K300" s="25" t="s">
        <v>29</v>
      </c>
      <c r="L300" s="25" t="s">
        <v>30</v>
      </c>
      <c r="M300" s="25" t="s">
        <v>61</v>
      </c>
      <c r="N300" s="25"/>
      <c r="O300" t="s">
        <v>41</v>
      </c>
      <c r="P300" s="32">
        <v>-915656.08</v>
      </c>
      <c r="Q300" s="30">
        <v>203302.41</v>
      </c>
      <c r="R300" s="30">
        <v>1048379</v>
      </c>
      <c r="S300" s="30" t="s">
        <v>63</v>
      </c>
      <c r="T300" t="s">
        <v>33</v>
      </c>
      <c r="U300" s="31" t="s">
        <v>33</v>
      </c>
      <c r="V300" t="s">
        <v>33</v>
      </c>
      <c r="Y300" t="e">
        <f>VLOOKUP(A300,[2]!PRGX[[#All],[Proveedor]],1,FALSE)</f>
        <v>#REF!</v>
      </c>
    </row>
    <row r="301" spans="1:26" x14ac:dyDescent="0.25">
      <c r="A301" s="25">
        <v>307710</v>
      </c>
      <c r="B301" s="25" t="s">
        <v>342</v>
      </c>
      <c r="C301" s="26">
        <v>5033</v>
      </c>
      <c r="D301" s="27">
        <v>479993636.773</v>
      </c>
      <c r="E301" s="27">
        <v>416580945.94300002</v>
      </c>
      <c r="F301" s="27">
        <v>63412690.829999998</v>
      </c>
      <c r="G301" s="27">
        <f>VLOOKUP(A301,'[1]saldos al 26May26'!$C$2:$I$1010,7,FALSE)</f>
        <v>-4753066.25</v>
      </c>
      <c r="H301" s="27"/>
      <c r="I301" s="28"/>
      <c r="J301" s="29"/>
      <c r="K301" s="25" t="s">
        <v>29</v>
      </c>
      <c r="L301" s="25" t="s">
        <v>30</v>
      </c>
      <c r="M301" s="25" t="s">
        <v>59</v>
      </c>
      <c r="N301" s="25"/>
      <c r="O301" t="s">
        <v>45</v>
      </c>
      <c r="P301" s="32">
        <v>-18316457.390000001</v>
      </c>
      <c r="Q301" s="30">
        <v>234639.25</v>
      </c>
      <c r="R301" s="30"/>
      <c r="S301" s="30">
        <v>0</v>
      </c>
      <c r="T301" t="s">
        <v>33</v>
      </c>
      <c r="U301" s="31" t="e">
        <v>#N/A</v>
      </c>
      <c r="V301" t="s">
        <v>34</v>
      </c>
      <c r="W301" s="42"/>
      <c r="Y301" t="e">
        <f>VLOOKUP(A301,[2]!PRGX[[#All],[Proveedor]],1,FALSE)</f>
        <v>#REF!</v>
      </c>
    </row>
    <row r="302" spans="1:26" x14ac:dyDescent="0.25">
      <c r="A302" s="25">
        <v>20096</v>
      </c>
      <c r="B302" s="25" t="s">
        <v>343</v>
      </c>
      <c r="C302" s="26">
        <v>91564</v>
      </c>
      <c r="D302" s="27">
        <v>479906155.22219998</v>
      </c>
      <c r="E302" s="27">
        <v>448922686.94219995</v>
      </c>
      <c r="F302" s="27">
        <v>30983468.280000001</v>
      </c>
      <c r="G302" s="27">
        <f>VLOOKUP(A302,'[1]saldos al 26May26'!$C$2:$I$1010,7,FALSE)</f>
        <v>-3435122.58</v>
      </c>
      <c r="H302" s="27"/>
      <c r="I302" s="28"/>
      <c r="J302" s="29"/>
      <c r="K302" s="25" t="s">
        <v>29</v>
      </c>
      <c r="L302" s="25" t="s">
        <v>30</v>
      </c>
      <c r="M302" s="25" t="s">
        <v>59</v>
      </c>
      <c r="N302" s="25"/>
      <c r="O302" t="s">
        <v>32</v>
      </c>
      <c r="P302" s="30">
        <v>922385.67999999993</v>
      </c>
      <c r="Q302" s="30">
        <v>40627.9</v>
      </c>
      <c r="R302" s="30">
        <v>113549.5</v>
      </c>
      <c r="S302" s="30" t="s">
        <v>33</v>
      </c>
      <c r="T302" t="s">
        <v>33</v>
      </c>
      <c r="U302" s="31" t="s">
        <v>33</v>
      </c>
      <c r="V302" t="s">
        <v>33</v>
      </c>
      <c r="Y302" t="e">
        <f>VLOOKUP(A302,[2]!PRGX[[#All],[Proveedor]],1,FALSE)</f>
        <v>#REF!</v>
      </c>
    </row>
    <row r="303" spans="1:26" x14ac:dyDescent="0.25">
      <c r="A303" s="25">
        <v>5684</v>
      </c>
      <c r="B303" s="25" t="s">
        <v>344</v>
      </c>
      <c r="C303" s="26">
        <v>69503</v>
      </c>
      <c r="D303" s="27">
        <v>478763998.11000001</v>
      </c>
      <c r="E303" s="27">
        <v>392777946.55000001</v>
      </c>
      <c r="F303" s="27">
        <v>85986051.560000002</v>
      </c>
      <c r="G303" s="27">
        <f>VLOOKUP(A303,'[1]saldos al 26May26'!$C$2:$I$1010,7,FALSE)</f>
        <v>-14226599.9</v>
      </c>
      <c r="H303" s="27"/>
      <c r="I303" s="28"/>
      <c r="J303" s="29"/>
      <c r="K303" s="25" t="s">
        <v>29</v>
      </c>
      <c r="L303" s="25" t="s">
        <v>30</v>
      </c>
      <c r="M303" s="25" t="s">
        <v>59</v>
      </c>
      <c r="N303" s="25"/>
      <c r="O303" t="s">
        <v>45</v>
      </c>
      <c r="P303" s="32">
        <v>-3580791.7</v>
      </c>
      <c r="Q303" s="30">
        <v>0</v>
      </c>
      <c r="R303" s="30"/>
      <c r="S303" s="30">
        <v>0</v>
      </c>
      <c r="T303" t="s">
        <v>33</v>
      </c>
      <c r="U303" s="31" t="e">
        <v>#N/A</v>
      </c>
      <c r="V303" t="s">
        <v>34</v>
      </c>
      <c r="Y303" t="e">
        <f>VLOOKUP(A303,[2]!PRGX[[#All],[Proveedor]],1,FALSE)</f>
        <v>#REF!</v>
      </c>
    </row>
    <row r="304" spans="1:26" x14ac:dyDescent="0.25">
      <c r="A304" s="52">
        <v>39974</v>
      </c>
      <c r="B304" s="52" t="s">
        <v>345</v>
      </c>
      <c r="C304" s="53">
        <v>31588</v>
      </c>
      <c r="D304" s="54">
        <v>478653867.99000001</v>
      </c>
      <c r="E304" s="27">
        <v>404916997.69</v>
      </c>
      <c r="F304" s="27">
        <v>73736870.299999997</v>
      </c>
      <c r="G304" s="54">
        <f>VLOOKUP(A304,'[1]saldos al 26May26'!$C$2:$I$1010,7,FALSE)</f>
        <v>-6317349.4500000002</v>
      </c>
      <c r="H304" s="54"/>
      <c r="I304" s="55"/>
      <c r="J304" s="56">
        <v>773849.69374999998</v>
      </c>
      <c r="K304" s="52" t="s">
        <v>40</v>
      </c>
      <c r="L304" s="52" t="s">
        <v>30</v>
      </c>
      <c r="M304" s="52" t="s">
        <v>50</v>
      </c>
      <c r="N304" s="52" t="s">
        <v>96</v>
      </c>
      <c r="O304" s="57" t="s">
        <v>96</v>
      </c>
      <c r="P304" s="58">
        <v>6849121.3099999996</v>
      </c>
      <c r="Q304" s="58">
        <v>8261136.8300000001</v>
      </c>
      <c r="R304" s="30">
        <v>137466.63</v>
      </c>
      <c r="S304" s="30" t="e">
        <v>#N/A</v>
      </c>
      <c r="T304" s="57" t="s">
        <v>34</v>
      </c>
      <c r="U304" s="31" t="e">
        <v>#N/A</v>
      </c>
      <c r="V304" s="57" t="s">
        <v>34</v>
      </c>
      <c r="X304" t="s">
        <v>43</v>
      </c>
      <c r="Y304" t="e">
        <f>VLOOKUP(A304,[2]!PRGX[[#All],[Proveedor]],1,FALSE)</f>
        <v>#REF!</v>
      </c>
    </row>
    <row r="305" spans="1:26" x14ac:dyDescent="0.25">
      <c r="A305" s="25">
        <v>97048</v>
      </c>
      <c r="B305" s="25" t="s">
        <v>346</v>
      </c>
      <c r="C305" s="26">
        <v>1740960</v>
      </c>
      <c r="D305" s="27">
        <v>478549351.25440001</v>
      </c>
      <c r="E305" s="27">
        <v>409707527.9084</v>
      </c>
      <c r="F305" s="27">
        <v>68841823.346000001</v>
      </c>
      <c r="G305" s="27">
        <f>VLOOKUP(A305,'[1]saldos al 26May26'!$C$2:$I$1010,7,FALSE)</f>
        <v>-3099476.8</v>
      </c>
      <c r="H305" s="27"/>
      <c r="I305" s="28"/>
      <c r="J305" s="29"/>
      <c r="K305" s="25" t="s">
        <v>40</v>
      </c>
      <c r="L305" s="25" t="s">
        <v>30</v>
      </c>
      <c r="M305" s="25" t="s">
        <v>55</v>
      </c>
      <c r="N305" s="25" t="s">
        <v>70</v>
      </c>
      <c r="O305" t="s">
        <v>70</v>
      </c>
      <c r="P305" s="32">
        <v>-2738074.9899999998</v>
      </c>
      <c r="Q305" s="30">
        <v>102246.56</v>
      </c>
      <c r="R305" s="30">
        <v>25726.3</v>
      </c>
      <c r="S305" s="30" t="s">
        <v>33</v>
      </c>
      <c r="T305" t="s">
        <v>33</v>
      </c>
      <c r="U305" s="31" t="s">
        <v>33</v>
      </c>
      <c r="V305" t="s">
        <v>33</v>
      </c>
      <c r="Y305" t="e">
        <f>VLOOKUP(A305,[2]!PRGX[[#All],[Proveedor]],1,FALSE)</f>
        <v>#REF!</v>
      </c>
    </row>
    <row r="306" spans="1:26" x14ac:dyDescent="0.25">
      <c r="A306" s="25">
        <v>320671</v>
      </c>
      <c r="B306" s="25" t="s">
        <v>347</v>
      </c>
      <c r="C306" s="26">
        <v>13014</v>
      </c>
      <c r="D306" s="27">
        <v>471037133.44</v>
      </c>
      <c r="E306" s="27">
        <v>378804619.88</v>
      </c>
      <c r="F306" s="27">
        <v>92232513.560000002</v>
      </c>
      <c r="G306" s="27">
        <f>VLOOKUP(A306,'[1]saldos al 26May26'!$C$2:$I$1010,7,FALSE)</f>
        <v>-3456539.15</v>
      </c>
      <c r="H306" s="27"/>
      <c r="I306" s="28"/>
      <c r="J306" s="29"/>
      <c r="K306" s="25" t="s">
        <v>29</v>
      </c>
      <c r="L306" s="25" t="s">
        <v>30</v>
      </c>
      <c r="M306" s="25" t="s">
        <v>31</v>
      </c>
      <c r="N306" s="25"/>
      <c r="O306" t="s">
        <v>67</v>
      </c>
      <c r="P306" s="32">
        <v>-2985826.63</v>
      </c>
      <c r="Q306" s="30">
        <v>843739.2</v>
      </c>
      <c r="R306" s="30"/>
      <c r="S306" s="30" t="s">
        <v>63</v>
      </c>
      <c r="T306" t="s">
        <v>33</v>
      </c>
      <c r="U306" s="31" t="e">
        <v>#N/A</v>
      </c>
      <c r="V306" t="s">
        <v>34</v>
      </c>
      <c r="Y306" t="e">
        <f>VLOOKUP(A306,[2]!PRGX[[#All],[Proveedor]],1,FALSE)</f>
        <v>#REF!</v>
      </c>
    </row>
    <row r="307" spans="1:26" x14ac:dyDescent="0.25">
      <c r="A307" s="25">
        <v>303864</v>
      </c>
      <c r="B307" s="25" t="s">
        <v>348</v>
      </c>
      <c r="C307" s="26">
        <v>188766</v>
      </c>
      <c r="D307" s="27">
        <v>469731099.01899999</v>
      </c>
      <c r="E307" s="27">
        <v>466297595.86900002</v>
      </c>
      <c r="F307" s="27">
        <v>3433503.15</v>
      </c>
      <c r="G307" s="27">
        <f>VLOOKUP(A307,'[1]saldos al 26May26'!$C$2:$I$1010,7,FALSE)</f>
        <v>-131294.09</v>
      </c>
      <c r="H307" s="27"/>
      <c r="I307" s="28"/>
      <c r="J307" s="29"/>
      <c r="K307" s="25" t="s">
        <v>29</v>
      </c>
      <c r="L307" s="25" t="s">
        <v>30</v>
      </c>
      <c r="M307" s="25" t="s">
        <v>59</v>
      </c>
      <c r="N307" s="25"/>
      <c r="O307" s="43" t="s">
        <v>41</v>
      </c>
      <c r="P307" s="32">
        <v>-8346099.6100000003</v>
      </c>
      <c r="Q307" s="30">
        <v>226981.5</v>
      </c>
      <c r="R307" s="30"/>
      <c r="S307" s="30" t="s">
        <v>33</v>
      </c>
      <c r="T307" t="s">
        <v>33</v>
      </c>
      <c r="U307" s="31" t="e">
        <v>#N/A</v>
      </c>
      <c r="V307" t="s">
        <v>34</v>
      </c>
      <c r="Y307" t="e">
        <f>VLOOKUP(A307,[2]!PRGX[[#All],[Proveedor]],1,FALSE)</f>
        <v>#REF!</v>
      </c>
    </row>
    <row r="308" spans="1:26" x14ac:dyDescent="0.25">
      <c r="A308" s="25">
        <v>21110</v>
      </c>
      <c r="B308" s="25" t="s">
        <v>349</v>
      </c>
      <c r="C308" s="26">
        <v>14455</v>
      </c>
      <c r="D308" s="27">
        <v>469710313.94</v>
      </c>
      <c r="E308" s="27">
        <v>376718896.85000002</v>
      </c>
      <c r="F308" s="27">
        <v>92991417.090000004</v>
      </c>
      <c r="G308" s="27">
        <f>VLOOKUP(A308,'[1]saldos al 26May26'!$C$2:$I$1010,7,FALSE)</f>
        <v>-5641821.7699999996</v>
      </c>
      <c r="H308" s="27"/>
      <c r="I308" s="28"/>
      <c r="J308" s="29"/>
      <c r="K308" s="25" t="s">
        <v>29</v>
      </c>
      <c r="L308" s="25" t="s">
        <v>30</v>
      </c>
      <c r="M308" s="25" t="s">
        <v>59</v>
      </c>
      <c r="N308" s="25"/>
      <c r="O308" t="s">
        <v>47</v>
      </c>
      <c r="P308" s="32">
        <v>-2622610.33</v>
      </c>
      <c r="Q308" s="30">
        <v>97938.8</v>
      </c>
      <c r="R308" s="30"/>
      <c r="S308" s="30" t="s">
        <v>63</v>
      </c>
      <c r="T308" t="s">
        <v>33</v>
      </c>
      <c r="U308" s="31" t="e">
        <v>#N/A</v>
      </c>
      <c r="V308" t="s">
        <v>34</v>
      </c>
      <c r="Y308" t="e">
        <f>VLOOKUP(A308,[2]!PRGX[[#All],[Proveedor]],1,FALSE)</f>
        <v>#REF!</v>
      </c>
    </row>
    <row r="309" spans="1:26" x14ac:dyDescent="0.25">
      <c r="A309" s="25">
        <v>62117</v>
      </c>
      <c r="B309" s="25" t="s">
        <v>350</v>
      </c>
      <c r="C309" s="26">
        <v>174502</v>
      </c>
      <c r="D309" s="27">
        <v>468837105.3355</v>
      </c>
      <c r="E309" s="27">
        <v>346896114.75550002</v>
      </c>
      <c r="F309" s="27">
        <v>121940990.58</v>
      </c>
      <c r="G309" s="27">
        <f>VLOOKUP(A309,'[1]saldos al 26May26'!$C$2:$I$1010,7,FALSE)</f>
        <v>-10662583.970000001</v>
      </c>
      <c r="H309" s="27"/>
      <c r="I309" s="28"/>
      <c r="J309" s="29"/>
      <c r="K309" s="25" t="s">
        <v>29</v>
      </c>
      <c r="L309" s="25" t="s">
        <v>30</v>
      </c>
      <c r="M309" s="25" t="s">
        <v>59</v>
      </c>
      <c r="N309" s="25"/>
      <c r="O309" t="s">
        <v>32</v>
      </c>
      <c r="P309" s="30">
        <v>4584436.88</v>
      </c>
      <c r="Q309" s="30">
        <v>-3378.45</v>
      </c>
      <c r="R309" s="30"/>
      <c r="S309" s="30" t="s">
        <v>63</v>
      </c>
      <c r="T309" t="s">
        <v>33</v>
      </c>
      <c r="U309" s="31" t="s">
        <v>33</v>
      </c>
      <c r="V309" t="s">
        <v>33</v>
      </c>
      <c r="Y309" t="e">
        <f>VLOOKUP(A309,[2]!PRGX[[#All],[Proveedor]],1,FALSE)</f>
        <v>#REF!</v>
      </c>
    </row>
    <row r="310" spans="1:26" x14ac:dyDescent="0.25">
      <c r="A310" s="25">
        <v>60699</v>
      </c>
      <c r="B310" s="25" t="s">
        <v>351</v>
      </c>
      <c r="C310" s="26">
        <v>4775</v>
      </c>
      <c r="D310" s="27">
        <v>467426598</v>
      </c>
      <c r="E310" s="27">
        <v>425490558</v>
      </c>
      <c r="F310" s="27">
        <v>41936040</v>
      </c>
      <c r="G310" s="27">
        <f>VLOOKUP(A310,'[1]saldos al 26May26'!$C$2:$I$1010,7,FALSE)</f>
        <v>-7823750.7699999996</v>
      </c>
      <c r="H310" s="27"/>
      <c r="I310" s="28"/>
      <c r="J310" s="29"/>
      <c r="K310" s="25" t="s">
        <v>29</v>
      </c>
      <c r="L310" s="25" t="s">
        <v>30</v>
      </c>
      <c r="M310" s="25" t="s">
        <v>50</v>
      </c>
      <c r="N310" s="25"/>
      <c r="O310" t="s">
        <v>70</v>
      </c>
      <c r="P310" s="32">
        <v>-916845.20000000007</v>
      </c>
      <c r="Q310" s="30">
        <v>3170635.44</v>
      </c>
      <c r="R310" s="30"/>
      <c r="S310" s="30" t="s">
        <v>63</v>
      </c>
      <c r="T310" t="s">
        <v>33</v>
      </c>
      <c r="U310" s="31" t="e">
        <v>#N/A</v>
      </c>
      <c r="V310" t="s">
        <v>34</v>
      </c>
      <c r="Y310" t="e">
        <f>VLOOKUP(A310,[2]!PRGX[[#All],[Proveedor]],1,FALSE)</f>
        <v>#REF!</v>
      </c>
    </row>
    <row r="311" spans="1:26" x14ac:dyDescent="0.25">
      <c r="A311" s="25">
        <v>382523</v>
      </c>
      <c r="B311" s="25" t="s">
        <v>352</v>
      </c>
      <c r="C311" s="26">
        <v>3834</v>
      </c>
      <c r="D311" s="27">
        <v>466687993</v>
      </c>
      <c r="E311" s="27">
        <v>365570753</v>
      </c>
      <c r="F311" s="27">
        <v>101117240</v>
      </c>
      <c r="G311" s="27">
        <f>VLOOKUP(A311,'[1]saldos al 26May26'!$C$2:$I$1010,7,FALSE)</f>
        <v>-23063722.66</v>
      </c>
      <c r="H311" s="27"/>
      <c r="I311" s="28"/>
      <c r="J311" s="29"/>
      <c r="K311" s="25" t="s">
        <v>29</v>
      </c>
      <c r="L311" s="25" t="s">
        <v>30</v>
      </c>
      <c r="M311" s="25" t="s">
        <v>55</v>
      </c>
      <c r="N311" s="25"/>
      <c r="O311" t="s">
        <v>87</v>
      </c>
      <c r="P311" s="32">
        <v>-790945.26</v>
      </c>
      <c r="Q311" s="30">
        <v>493290</v>
      </c>
      <c r="R311" s="30"/>
      <c r="S311" s="30" t="e">
        <v>#N/A</v>
      </c>
      <c r="T311" t="s">
        <v>33</v>
      </c>
      <c r="U311" s="31">
        <v>0</v>
      </c>
      <c r="V311" t="s">
        <v>42</v>
      </c>
      <c r="Y311" t="e">
        <f>VLOOKUP(A311,[2]!PRGX[[#All],[Proveedor]],1,FALSE)</f>
        <v>#REF!</v>
      </c>
    </row>
    <row r="312" spans="1:26" x14ac:dyDescent="0.25">
      <c r="A312" s="25">
        <v>18320</v>
      </c>
      <c r="B312" s="25" t="s">
        <v>353</v>
      </c>
      <c r="C312" s="26">
        <v>1615</v>
      </c>
      <c r="D312" s="27">
        <v>24497837.890000001</v>
      </c>
      <c r="E312" s="27">
        <v>19285370.949999999</v>
      </c>
      <c r="F312" s="27">
        <v>5212466.9400000004</v>
      </c>
      <c r="G312" s="27">
        <f>VLOOKUP(A312,'[1]saldos al 26May26'!$C$2:$I$1010,7,FALSE)</f>
        <v>-1627170.8</v>
      </c>
      <c r="H312" s="27"/>
      <c r="I312" s="28"/>
      <c r="J312" s="29">
        <v>225395.88326341094</v>
      </c>
      <c r="K312" s="25" t="s">
        <v>40</v>
      </c>
      <c r="L312" s="25" t="s">
        <v>30</v>
      </c>
      <c r="M312" s="25" t="s">
        <v>31</v>
      </c>
      <c r="N312" s="25" t="s">
        <v>56</v>
      </c>
      <c r="O312" t="s">
        <v>56</v>
      </c>
      <c r="P312" s="32">
        <v>-33313.21</v>
      </c>
      <c r="Q312" s="30">
        <v>0</v>
      </c>
      <c r="R312" s="30"/>
      <c r="S312" s="30" t="e">
        <v>#N/A</v>
      </c>
      <c r="T312" t="s">
        <v>34</v>
      </c>
      <c r="U312" s="31" t="e">
        <v>#N/A</v>
      </c>
      <c r="V312" t="s">
        <v>34</v>
      </c>
      <c r="Y312" t="e">
        <f>VLOOKUP(A312,[2]!PRGX[[#All],[Proveedor]],1,FALSE)</f>
        <v>#REF!</v>
      </c>
    </row>
    <row r="313" spans="1:26" x14ac:dyDescent="0.25">
      <c r="A313" s="36">
        <v>383349</v>
      </c>
      <c r="B313" s="36" t="s">
        <v>354</v>
      </c>
      <c r="C313" s="37">
        <v>2314</v>
      </c>
      <c r="D313" s="38">
        <v>458187989.32520002</v>
      </c>
      <c r="E313" s="38">
        <v>406602985.96520001</v>
      </c>
      <c r="F313" s="38">
        <v>51585003.359999999</v>
      </c>
      <c r="G313" s="38">
        <f>VLOOKUP(A313,'[1]saldos al 26May26'!$C$2:$I$1010,7,FALSE)</f>
        <v>1176431.6499999999</v>
      </c>
      <c r="H313" s="39" t="s">
        <v>54</v>
      </c>
      <c r="I313" s="40"/>
      <c r="J313" s="41"/>
      <c r="K313" s="36" t="s">
        <v>29</v>
      </c>
      <c r="L313" s="36" t="s">
        <v>30</v>
      </c>
      <c r="M313" s="36" t="s">
        <v>55</v>
      </c>
      <c r="N313" s="25"/>
      <c r="O313" s="43" t="s">
        <v>41</v>
      </c>
      <c r="P313" s="32">
        <v>-1836134.46</v>
      </c>
      <c r="Q313" s="30">
        <v>274215</v>
      </c>
      <c r="R313" s="30">
        <v>344944.13</v>
      </c>
      <c r="S313" s="30" t="s">
        <v>63</v>
      </c>
      <c r="T313" t="s">
        <v>33</v>
      </c>
      <c r="U313" s="31">
        <v>0</v>
      </c>
      <c r="V313" t="s">
        <v>42</v>
      </c>
      <c r="Y313" t="e">
        <f>VLOOKUP(A313,[2]!PRGX[[#All],[Proveedor]],1,FALSE)</f>
        <v>#REF!</v>
      </c>
    </row>
    <row r="314" spans="1:26" x14ac:dyDescent="0.25">
      <c r="A314" s="25">
        <v>22726</v>
      </c>
      <c r="B314" s="25" t="s">
        <v>355</v>
      </c>
      <c r="C314" s="26">
        <v>13365</v>
      </c>
      <c r="D314" s="27">
        <v>456033480.30400002</v>
      </c>
      <c r="E314" s="27">
        <v>320001675.59399998</v>
      </c>
      <c r="F314" s="27">
        <v>136031804.71000001</v>
      </c>
      <c r="G314" s="27">
        <f>VLOOKUP(A314,'[1]saldos al 26May26'!$C$2:$I$1010,7,FALSE)</f>
        <v>-1730833.68</v>
      </c>
      <c r="H314" s="27"/>
      <c r="I314" s="28"/>
      <c r="J314" s="29"/>
      <c r="K314" s="25" t="s">
        <v>40</v>
      </c>
      <c r="L314" s="25" t="s">
        <v>30</v>
      </c>
      <c r="M314" s="25" t="s">
        <v>59</v>
      </c>
      <c r="N314" s="25" t="s">
        <v>41</v>
      </c>
      <c r="O314" t="s">
        <v>41</v>
      </c>
      <c r="P314" s="32">
        <v>-428124.4</v>
      </c>
      <c r="Q314" s="30">
        <v>838696.26</v>
      </c>
      <c r="R314" s="30"/>
      <c r="S314" s="30">
        <v>0</v>
      </c>
      <c r="T314" t="s">
        <v>33</v>
      </c>
      <c r="U314" s="31" t="e">
        <v>#N/A</v>
      </c>
      <c r="V314" t="s">
        <v>34</v>
      </c>
      <c r="Y314" t="e">
        <f>VLOOKUP(A314,[2]!PRGX[[#All],[Proveedor]],1,FALSE)</f>
        <v>#REF!</v>
      </c>
    </row>
    <row r="315" spans="1:26" x14ac:dyDescent="0.25">
      <c r="A315" s="25">
        <v>21625</v>
      </c>
      <c r="B315" s="25" t="s">
        <v>356</v>
      </c>
      <c r="C315" s="26">
        <v>1387</v>
      </c>
      <c r="D315" s="27">
        <v>454140331.85000002</v>
      </c>
      <c r="E315" s="27">
        <v>169023638.64000005</v>
      </c>
      <c r="F315" s="27">
        <v>285116693.20999998</v>
      </c>
      <c r="G315" s="27">
        <f>VLOOKUP(A315,'[1]saldos al 26May26'!$C$2:$I$1010,7,FALSE)</f>
        <v>-108576942.95999999</v>
      </c>
      <c r="H315" s="27"/>
      <c r="I315" s="28" t="s">
        <v>27</v>
      </c>
      <c r="J315" s="29"/>
      <c r="K315" s="25" t="s">
        <v>29</v>
      </c>
      <c r="L315" s="25" t="s">
        <v>30</v>
      </c>
      <c r="M315" s="25" t="s">
        <v>59</v>
      </c>
      <c r="N315" s="25"/>
      <c r="O315" t="s">
        <v>96</v>
      </c>
      <c r="P315" s="32">
        <v>-1156155.0900000001</v>
      </c>
      <c r="Q315" s="30">
        <v>0</v>
      </c>
      <c r="R315" s="30"/>
      <c r="S315" s="30">
        <v>0</v>
      </c>
      <c r="T315" t="s">
        <v>33</v>
      </c>
      <c r="U315" s="31" t="e">
        <v>#N/A</v>
      </c>
      <c r="V315" t="s">
        <v>34</v>
      </c>
      <c r="Y315" t="e">
        <f>VLOOKUP(A315,[2]!PRGX[[#All],[Proveedor]],1,FALSE)</f>
        <v>#REF!</v>
      </c>
      <c r="Z315">
        <v>21625</v>
      </c>
    </row>
    <row r="316" spans="1:26" x14ac:dyDescent="0.25">
      <c r="A316" s="25">
        <v>208678</v>
      </c>
      <c r="B316" s="25" t="s">
        <v>357</v>
      </c>
      <c r="C316" s="26">
        <v>18275</v>
      </c>
      <c r="D316" s="27">
        <v>147964968.12599999</v>
      </c>
      <c r="E316" s="27">
        <v>134937648.91599998</v>
      </c>
      <c r="F316" s="27">
        <v>13027319.210000001</v>
      </c>
      <c r="G316" s="27">
        <f>VLOOKUP(A316,'[1]saldos al 26May26'!$C$2:$I$1010,7,FALSE)</f>
        <v>-1005850.48</v>
      </c>
      <c r="H316" s="27"/>
      <c r="I316" s="28"/>
      <c r="J316" s="29">
        <v>212723.1890180078</v>
      </c>
      <c r="K316" s="25" t="s">
        <v>40</v>
      </c>
      <c r="L316" s="25" t="s">
        <v>30</v>
      </c>
      <c r="M316" s="25" t="s">
        <v>31</v>
      </c>
      <c r="N316" s="25" t="s">
        <v>56</v>
      </c>
      <c r="O316" t="s">
        <v>56</v>
      </c>
      <c r="P316" s="32">
        <v>-129920.13</v>
      </c>
      <c r="Q316" s="30">
        <v>33130.449999999997</v>
      </c>
      <c r="R316" s="30"/>
      <c r="S316" s="30" t="e">
        <v>#N/A</v>
      </c>
      <c r="T316" t="s">
        <v>34</v>
      </c>
      <c r="U316" s="31">
        <v>0</v>
      </c>
      <c r="V316" t="s">
        <v>42</v>
      </c>
      <c r="Y316" t="e">
        <f>VLOOKUP(A316,[2]!PRGX[[#All],[Proveedor]],1,FALSE)</f>
        <v>#REF!</v>
      </c>
    </row>
    <row r="317" spans="1:26" x14ac:dyDescent="0.25">
      <c r="A317" s="52">
        <v>9782</v>
      </c>
      <c r="B317" s="52" t="s">
        <v>358</v>
      </c>
      <c r="C317" s="53">
        <v>15745</v>
      </c>
      <c r="D317" s="54">
        <v>45540841.140000001</v>
      </c>
      <c r="E317" s="27">
        <v>42424574.020000003</v>
      </c>
      <c r="F317" s="27">
        <v>3116267.12</v>
      </c>
      <c r="G317" s="54">
        <f>VLOOKUP(A317,'[1]saldos al 26May26'!$C$2:$I$1010,7,FALSE)</f>
        <v>-1182575.2</v>
      </c>
      <c r="H317" s="54"/>
      <c r="I317" s="55"/>
      <c r="J317" s="56">
        <v>191246.20851095099</v>
      </c>
      <c r="K317" s="52" t="s">
        <v>40</v>
      </c>
      <c r="L317" s="52" t="s">
        <v>30</v>
      </c>
      <c r="M317" s="52" t="s">
        <v>31</v>
      </c>
      <c r="N317" s="52" t="s">
        <v>56</v>
      </c>
      <c r="O317" s="57" t="s">
        <v>56</v>
      </c>
      <c r="P317" s="59">
        <v>-226621.21</v>
      </c>
      <c r="Q317" s="58">
        <v>1505186.2</v>
      </c>
      <c r="R317" s="30">
        <v>183818.11</v>
      </c>
      <c r="S317" s="30" t="e">
        <v>#N/A</v>
      </c>
      <c r="T317" s="57" t="s">
        <v>34</v>
      </c>
      <c r="U317" s="31" t="e">
        <v>#N/A</v>
      </c>
      <c r="V317" s="57" t="s">
        <v>34</v>
      </c>
      <c r="X317" t="s">
        <v>43</v>
      </c>
      <c r="Y317" t="e">
        <f>VLOOKUP(A317,[2]!PRGX[[#All],[Proveedor]],1,FALSE)</f>
        <v>#REF!</v>
      </c>
    </row>
    <row r="318" spans="1:26" x14ac:dyDescent="0.25">
      <c r="A318" s="25">
        <v>28241</v>
      </c>
      <c r="B318" s="25" t="s">
        <v>359</v>
      </c>
      <c r="C318" s="26">
        <v>53149</v>
      </c>
      <c r="D318" s="27">
        <v>449699034.41000003</v>
      </c>
      <c r="E318" s="27">
        <v>376512188.42000002</v>
      </c>
      <c r="F318" s="27">
        <v>73186845.989999995</v>
      </c>
      <c r="G318" s="27">
        <f>VLOOKUP(A318,'[1]saldos al 26May26'!$C$2:$I$1010,7,FALSE)</f>
        <v>-12727124.91</v>
      </c>
      <c r="H318" s="27"/>
      <c r="I318" s="28"/>
      <c r="J318" s="29"/>
      <c r="K318" s="25" t="s">
        <v>29</v>
      </c>
      <c r="L318" s="25" t="s">
        <v>30</v>
      </c>
      <c r="M318" s="25" t="s">
        <v>55</v>
      </c>
      <c r="N318" s="25"/>
      <c r="O318" t="s">
        <v>38</v>
      </c>
      <c r="P318" s="32">
        <v>-185911.2100000002</v>
      </c>
      <c r="Q318" s="30">
        <v>939620</v>
      </c>
      <c r="R318" s="30"/>
      <c r="S318" s="30" t="s">
        <v>63</v>
      </c>
      <c r="T318" t="s">
        <v>33</v>
      </c>
      <c r="U318" s="31">
        <v>0</v>
      </c>
      <c r="V318" t="s">
        <v>42</v>
      </c>
      <c r="Y318" t="e">
        <f>VLOOKUP(A318,[2]!PRGX[[#All],[Proveedor]],1,FALSE)</f>
        <v>#REF!</v>
      </c>
    </row>
    <row r="319" spans="1:26" x14ac:dyDescent="0.25">
      <c r="A319" s="25">
        <v>379495</v>
      </c>
      <c r="B319" s="25" t="s">
        <v>360</v>
      </c>
      <c r="C319" s="26">
        <v>73466</v>
      </c>
      <c r="D319" s="27">
        <v>447907906.67000002</v>
      </c>
      <c r="E319" s="27">
        <v>357851155.98000002</v>
      </c>
      <c r="F319" s="27">
        <v>90056750.689999998</v>
      </c>
      <c r="G319" s="27">
        <f>VLOOKUP(A319,'[1]saldos al 26May26'!$C$2:$I$1010,7,FALSE)</f>
        <v>-7648379.5800000001</v>
      </c>
      <c r="H319" s="27"/>
      <c r="I319" s="28"/>
      <c r="J319" s="29"/>
      <c r="K319" s="25" t="s">
        <v>29</v>
      </c>
      <c r="L319" s="25" t="s">
        <v>30</v>
      </c>
      <c r="M319" s="25" t="s">
        <v>61</v>
      </c>
      <c r="N319" s="25"/>
      <c r="O319" t="s">
        <v>41</v>
      </c>
      <c r="P319" s="32">
        <v>-384145.07999999996</v>
      </c>
      <c r="Q319" s="30">
        <v>398281.9</v>
      </c>
      <c r="R319" s="30">
        <v>190503.4</v>
      </c>
      <c r="S319" s="30" t="s">
        <v>63</v>
      </c>
      <c r="T319" t="s">
        <v>33</v>
      </c>
      <c r="U319" s="31" t="s">
        <v>33</v>
      </c>
      <c r="V319" t="s">
        <v>33</v>
      </c>
      <c r="Y319" t="e">
        <f>VLOOKUP(A319,[2]!PRGX[[#All],[Proveedor]],1,FALSE)</f>
        <v>#REF!</v>
      </c>
    </row>
    <row r="320" spans="1:26" x14ac:dyDescent="0.25">
      <c r="A320" s="25">
        <v>339960</v>
      </c>
      <c r="B320" s="25" t="s">
        <v>361</v>
      </c>
      <c r="C320" s="26">
        <v>3130</v>
      </c>
      <c r="D320" s="27">
        <v>446840121.73879999</v>
      </c>
      <c r="E320" s="27">
        <v>342321494.65279996</v>
      </c>
      <c r="F320" s="27">
        <v>104518627.086</v>
      </c>
      <c r="G320" s="27">
        <f>VLOOKUP(A320,'[1]saldos al 26May26'!$C$2:$I$1010,7,FALSE)</f>
        <v>-10534109.52</v>
      </c>
      <c r="H320" s="27"/>
      <c r="I320" s="28"/>
      <c r="J320" s="29"/>
      <c r="K320" s="25" t="s">
        <v>29</v>
      </c>
      <c r="L320" s="25" t="s">
        <v>30</v>
      </c>
      <c r="M320" s="25" t="s">
        <v>59</v>
      </c>
      <c r="N320" s="25"/>
      <c r="O320" t="s">
        <v>70</v>
      </c>
      <c r="P320" s="32">
        <v>-6822494.3900000006</v>
      </c>
      <c r="Q320" s="30">
        <v>0</v>
      </c>
      <c r="R320" s="30">
        <v>62292</v>
      </c>
      <c r="S320" s="30" t="s">
        <v>33</v>
      </c>
      <c r="T320" t="s">
        <v>33</v>
      </c>
      <c r="U320" s="31" t="s">
        <v>33</v>
      </c>
      <c r="V320" t="s">
        <v>33</v>
      </c>
      <c r="Y320" t="e">
        <f>VLOOKUP(A320,[2]!PRGX[[#All],[Proveedor]],1,FALSE)</f>
        <v>#REF!</v>
      </c>
    </row>
    <row r="321" spans="1:26" x14ac:dyDescent="0.25">
      <c r="A321" s="25">
        <v>319335</v>
      </c>
      <c r="B321" s="25" t="s">
        <v>362</v>
      </c>
      <c r="C321" s="26">
        <v>24106</v>
      </c>
      <c r="D321" s="27">
        <v>444553323.12</v>
      </c>
      <c r="E321" s="27">
        <v>381998204.63</v>
      </c>
      <c r="F321" s="27">
        <v>62555118.490000002</v>
      </c>
      <c r="G321" s="27">
        <f>VLOOKUP(A321,'[1]saldos al 26May26'!$C$2:$I$1010,7,FALSE)</f>
        <v>-16924384.010000002</v>
      </c>
      <c r="H321" s="27"/>
      <c r="I321" s="28"/>
      <c r="J321" s="29"/>
      <c r="K321" s="25" t="s">
        <v>29</v>
      </c>
      <c r="L321" s="25" t="s">
        <v>30</v>
      </c>
      <c r="M321" s="25" t="s">
        <v>31</v>
      </c>
      <c r="N321" s="25"/>
      <c r="O321" t="s">
        <v>51</v>
      </c>
      <c r="P321" s="32">
        <v>-1566</v>
      </c>
      <c r="Q321" s="30">
        <v>856194.82</v>
      </c>
      <c r="R321" s="30">
        <v>4285.03</v>
      </c>
      <c r="S321" s="30" t="s">
        <v>63</v>
      </c>
      <c r="T321" t="s">
        <v>33</v>
      </c>
      <c r="U321" s="31" t="e">
        <v>#N/A</v>
      </c>
      <c r="V321" t="s">
        <v>34</v>
      </c>
      <c r="W321" s="42"/>
      <c r="Y321" t="e">
        <f>VLOOKUP(A321,[2]!PRGX[[#All],[Proveedor]],1,FALSE)</f>
        <v>#REF!</v>
      </c>
    </row>
    <row r="322" spans="1:26" x14ac:dyDescent="0.25">
      <c r="A322" s="25">
        <v>84525</v>
      </c>
      <c r="B322" s="25" t="s">
        <v>363</v>
      </c>
      <c r="C322" s="26">
        <v>81454</v>
      </c>
      <c r="D322" s="27">
        <v>440762611.22799999</v>
      </c>
      <c r="E322" s="27">
        <v>383444637.528</v>
      </c>
      <c r="F322" s="27">
        <v>57317973.700000003</v>
      </c>
      <c r="G322" s="27">
        <f>VLOOKUP(A322,'[1]saldos al 26May26'!$C$2:$I$1010,7,FALSE)</f>
        <v>-1811918.99</v>
      </c>
      <c r="H322" s="27"/>
      <c r="I322" s="28" t="s">
        <v>27</v>
      </c>
      <c r="J322" s="29"/>
      <c r="K322" s="25" t="s">
        <v>29</v>
      </c>
      <c r="L322" s="25" t="s">
        <v>30</v>
      </c>
      <c r="M322" s="25" t="s">
        <v>59</v>
      </c>
      <c r="N322" s="25"/>
      <c r="O322" t="s">
        <v>45</v>
      </c>
      <c r="P322" s="32">
        <v>-4462469.1099999994</v>
      </c>
      <c r="Q322" s="30">
        <v>141590</v>
      </c>
      <c r="R322" s="30"/>
      <c r="S322" s="30">
        <v>0</v>
      </c>
      <c r="T322" t="s">
        <v>33</v>
      </c>
      <c r="U322" s="31" t="e">
        <v>#N/A</v>
      </c>
      <c r="V322" t="s">
        <v>34</v>
      </c>
      <c r="Y322" t="e">
        <f>VLOOKUP(A322,[2]!PRGX[[#All],[Proveedor]],1,FALSE)</f>
        <v>#REF!</v>
      </c>
      <c r="Z322">
        <v>84525</v>
      </c>
    </row>
    <row r="323" spans="1:26" x14ac:dyDescent="0.25">
      <c r="A323" s="25">
        <v>16747</v>
      </c>
      <c r="B323" s="25" t="s">
        <v>364</v>
      </c>
      <c r="C323" s="26">
        <v>28048</v>
      </c>
      <c r="D323" s="27">
        <v>439926330.77999997</v>
      </c>
      <c r="E323" s="27">
        <v>369191529.88</v>
      </c>
      <c r="F323" s="27">
        <v>70734800.900000006</v>
      </c>
      <c r="G323" s="27">
        <f>VLOOKUP(A323,'[1]saldos al 26May26'!$C$2:$I$1010,7,FALSE)</f>
        <v>-5158479.6399999997</v>
      </c>
      <c r="H323" s="27"/>
      <c r="I323" s="28"/>
      <c r="J323" s="29"/>
      <c r="K323" s="25" t="s">
        <v>29</v>
      </c>
      <c r="L323" s="25" t="s">
        <v>30</v>
      </c>
      <c r="M323" s="25" t="s">
        <v>59</v>
      </c>
      <c r="N323" s="25"/>
      <c r="O323" t="s">
        <v>45</v>
      </c>
      <c r="P323" s="30">
        <v>1257949.47</v>
      </c>
      <c r="Q323" s="30">
        <v>0</v>
      </c>
      <c r="R323" s="30">
        <v>180000</v>
      </c>
      <c r="S323" s="30" t="s">
        <v>63</v>
      </c>
      <c r="T323" t="s">
        <v>33</v>
      </c>
      <c r="U323" s="31" t="e">
        <v>#N/A</v>
      </c>
      <c r="V323" t="s">
        <v>34</v>
      </c>
      <c r="Y323" t="e">
        <f>VLOOKUP(A323,[2]!PRGX[[#All],[Proveedor]],1,FALSE)</f>
        <v>#REF!</v>
      </c>
    </row>
    <row r="324" spans="1:26" x14ac:dyDescent="0.25">
      <c r="A324" s="25">
        <v>98798</v>
      </c>
      <c r="B324" s="25" t="s">
        <v>365</v>
      </c>
      <c r="C324" s="26">
        <v>22796</v>
      </c>
      <c r="D324" s="27">
        <v>438750197.7288</v>
      </c>
      <c r="E324" s="27">
        <v>406250200.29979998</v>
      </c>
      <c r="F324" s="27">
        <v>32499997.429000001</v>
      </c>
      <c r="G324" s="27">
        <f>VLOOKUP(A324,'[1]saldos al 26May26'!$C$2:$I$1010,7,FALSE)</f>
        <v>-2430161.31</v>
      </c>
      <c r="H324" s="27"/>
      <c r="I324" s="28"/>
      <c r="J324" s="29"/>
      <c r="K324" s="25" t="s">
        <v>29</v>
      </c>
      <c r="L324" s="25" t="s">
        <v>30</v>
      </c>
      <c r="M324" s="25" t="s">
        <v>59</v>
      </c>
      <c r="N324" s="25"/>
      <c r="O324" t="s">
        <v>38</v>
      </c>
      <c r="P324" s="32">
        <v>-13918269.720000001</v>
      </c>
      <c r="Q324" s="30">
        <v>7574788.3799999999</v>
      </c>
      <c r="R324" s="30"/>
      <c r="S324" s="30">
        <v>0</v>
      </c>
      <c r="T324" t="s">
        <v>33</v>
      </c>
      <c r="U324" s="31" t="e">
        <v>#N/A</v>
      </c>
      <c r="V324" t="s">
        <v>34</v>
      </c>
      <c r="Y324" t="e">
        <f>VLOOKUP(A324,[2]!PRGX[[#All],[Proveedor]],1,FALSE)</f>
        <v>#REF!</v>
      </c>
    </row>
    <row r="325" spans="1:26" x14ac:dyDescent="0.25">
      <c r="A325" s="25">
        <v>24489</v>
      </c>
      <c r="B325" s="25" t="s">
        <v>366</v>
      </c>
      <c r="C325" s="26">
        <v>162784</v>
      </c>
      <c r="D325" s="27">
        <v>438545193.50999999</v>
      </c>
      <c r="E325" s="27">
        <v>361327682.43000001</v>
      </c>
      <c r="F325" s="27">
        <v>77217511.079999998</v>
      </c>
      <c r="G325" s="27">
        <f>VLOOKUP(A325,'[1]saldos al 26May26'!$C$2:$I$1010,7,FALSE)</f>
        <v>-22432880.350000001</v>
      </c>
      <c r="H325" s="27"/>
      <c r="I325" s="28"/>
      <c r="J325" s="29"/>
      <c r="K325" s="25" t="s">
        <v>29</v>
      </c>
      <c r="L325" s="25" t="s">
        <v>30</v>
      </c>
      <c r="M325" s="25" t="s">
        <v>59</v>
      </c>
      <c r="N325" s="25"/>
      <c r="O325" t="s">
        <v>36</v>
      </c>
      <c r="P325" s="32">
        <v>-1626231.32</v>
      </c>
      <c r="Q325" s="30">
        <v>3668340.5</v>
      </c>
      <c r="R325" s="30">
        <v>201474.14</v>
      </c>
      <c r="S325" s="30" t="s">
        <v>63</v>
      </c>
      <c r="T325" t="s">
        <v>33</v>
      </c>
      <c r="U325" s="31">
        <v>0</v>
      </c>
      <c r="V325" t="s">
        <v>42</v>
      </c>
      <c r="Y325" t="e">
        <f>VLOOKUP(A325,[2]!PRGX[[#All],[Proveedor]],1,FALSE)</f>
        <v>#REF!</v>
      </c>
    </row>
    <row r="326" spans="1:26" x14ac:dyDescent="0.25">
      <c r="A326" s="25">
        <v>391524</v>
      </c>
      <c r="B326" s="25" t="s">
        <v>367</v>
      </c>
      <c r="C326" s="26">
        <v>3724</v>
      </c>
      <c r="D326" s="27">
        <v>436703641.546</v>
      </c>
      <c r="E326" s="27">
        <v>388624150.00800002</v>
      </c>
      <c r="F326" s="27">
        <v>48079491.538000003</v>
      </c>
      <c r="G326" s="27">
        <f>VLOOKUP(A326,'[1]saldos al 26May26'!$C$2:$I$1010,7,FALSE)</f>
        <v>-2127432.81</v>
      </c>
      <c r="H326" s="27"/>
      <c r="I326" s="28"/>
      <c r="J326" s="29"/>
      <c r="K326" s="25" t="s">
        <v>29</v>
      </c>
      <c r="L326" s="25" t="s">
        <v>30</v>
      </c>
      <c r="M326" s="25" t="s">
        <v>55</v>
      </c>
      <c r="N326" s="25"/>
      <c r="O326" t="s">
        <v>80</v>
      </c>
      <c r="P326" s="30">
        <v>0</v>
      </c>
      <c r="Q326" s="30">
        <v>40836</v>
      </c>
      <c r="R326" s="30"/>
      <c r="S326" s="30" t="s">
        <v>33</v>
      </c>
      <c r="T326" t="s">
        <v>33</v>
      </c>
      <c r="U326" s="31" t="e">
        <v>#N/A</v>
      </c>
      <c r="V326" t="s">
        <v>34</v>
      </c>
      <c r="Y326" t="e">
        <f>VLOOKUP(A326,[2]!PRGX[[#All],[Proveedor]],1,FALSE)</f>
        <v>#REF!</v>
      </c>
    </row>
    <row r="327" spans="1:26" x14ac:dyDescent="0.25">
      <c r="A327" s="36">
        <v>23081</v>
      </c>
      <c r="B327" s="36" t="s">
        <v>368</v>
      </c>
      <c r="C327" s="37">
        <v>2574</v>
      </c>
      <c r="D327" s="38">
        <v>435450940.30299997</v>
      </c>
      <c r="E327" s="38">
        <v>330775776.70299995</v>
      </c>
      <c r="F327" s="38">
        <v>104675163.59999999</v>
      </c>
      <c r="G327" s="38">
        <f>VLOOKUP(A327,'[1]saldos al 26May26'!$C$2:$I$1010,7,FALSE)</f>
        <v>-2254.4899999999998</v>
      </c>
      <c r="H327" s="39" t="s">
        <v>54</v>
      </c>
      <c r="I327" s="40"/>
      <c r="J327" s="41"/>
      <c r="K327" s="36" t="s">
        <v>29</v>
      </c>
      <c r="L327" s="36" t="s">
        <v>30</v>
      </c>
      <c r="M327" s="36" t="s">
        <v>55</v>
      </c>
      <c r="N327" s="25"/>
      <c r="O327" s="42" t="s">
        <v>87</v>
      </c>
      <c r="P327" s="32">
        <v>-5349791.1400000006</v>
      </c>
      <c r="Q327" s="30">
        <v>0</v>
      </c>
      <c r="R327" s="30"/>
      <c r="S327" s="30" t="s">
        <v>33</v>
      </c>
      <c r="T327" t="s">
        <v>33</v>
      </c>
      <c r="U327" s="31" t="e">
        <v>#N/A</v>
      </c>
      <c r="V327" t="s">
        <v>34</v>
      </c>
      <c r="Y327" t="e">
        <f>VLOOKUP(A327,[2]!PRGX[[#All],[Proveedor]],1,FALSE)</f>
        <v>#REF!</v>
      </c>
    </row>
    <row r="328" spans="1:26" x14ac:dyDescent="0.25">
      <c r="A328" s="25">
        <v>20016</v>
      </c>
      <c r="B328" s="25" t="s">
        <v>369</v>
      </c>
      <c r="C328" s="26">
        <v>15535</v>
      </c>
      <c r="D328" s="27">
        <v>433348811.02999997</v>
      </c>
      <c r="E328" s="27">
        <v>353999098.68999994</v>
      </c>
      <c r="F328" s="27">
        <v>79349712.340000004</v>
      </c>
      <c r="G328" s="27">
        <f>VLOOKUP(A328,'[1]saldos al 26May26'!$C$2:$I$1010,7,FALSE)</f>
        <v>-5766187.2699999996</v>
      </c>
      <c r="H328" s="27"/>
      <c r="I328" s="28"/>
      <c r="J328" s="29"/>
      <c r="K328" s="25" t="s">
        <v>29</v>
      </c>
      <c r="L328" s="25" t="s">
        <v>30</v>
      </c>
      <c r="M328" s="25" t="s">
        <v>31</v>
      </c>
      <c r="N328" s="25"/>
      <c r="O328" t="s">
        <v>51</v>
      </c>
      <c r="P328" s="32">
        <v>-478698.02</v>
      </c>
      <c r="Q328" s="30">
        <v>228098.58</v>
      </c>
      <c r="R328" s="30"/>
      <c r="S328" s="30" t="s">
        <v>63</v>
      </c>
      <c r="T328" t="s">
        <v>33</v>
      </c>
      <c r="U328" s="31">
        <v>0</v>
      </c>
      <c r="V328" t="s">
        <v>42</v>
      </c>
      <c r="Y328" t="e">
        <f>VLOOKUP(A328,[2]!PRGX[[#All],[Proveedor]],1,FALSE)</f>
        <v>#REF!</v>
      </c>
    </row>
    <row r="329" spans="1:26" x14ac:dyDescent="0.25">
      <c r="A329" s="25">
        <v>716</v>
      </c>
      <c r="B329" s="25" t="s">
        <v>370</v>
      </c>
      <c r="C329" s="26">
        <v>2383</v>
      </c>
      <c r="D329" s="27">
        <v>432464226</v>
      </c>
      <c r="E329" s="27">
        <v>359395278</v>
      </c>
      <c r="F329" s="27">
        <v>73068948</v>
      </c>
      <c r="G329" s="27">
        <f>VLOOKUP(A329,'[1]saldos al 26May26'!$C$2:$I$1010,7,FALSE)</f>
        <v>-1488757.48</v>
      </c>
      <c r="H329" s="27"/>
      <c r="I329" s="28"/>
      <c r="J329" s="29">
        <v>9422.0776081479798</v>
      </c>
      <c r="K329" s="25" t="s">
        <v>29</v>
      </c>
      <c r="L329" s="25" t="s">
        <v>30</v>
      </c>
      <c r="M329" s="25" t="s">
        <v>55</v>
      </c>
      <c r="N329" s="25"/>
      <c r="O329" t="s">
        <v>36</v>
      </c>
      <c r="P329" s="32">
        <v>-792222</v>
      </c>
      <c r="Q329" s="30">
        <v>0</v>
      </c>
      <c r="R329" s="30"/>
      <c r="S329" s="30" t="s">
        <v>63</v>
      </c>
      <c r="T329" t="s">
        <v>33</v>
      </c>
      <c r="U329" s="31" t="e">
        <v>#N/A</v>
      </c>
      <c r="V329" t="s">
        <v>34</v>
      </c>
      <c r="Y329" t="e">
        <f>VLOOKUP(A329,[2]!PRGX[[#All],[Proveedor]],1,FALSE)</f>
        <v>#REF!</v>
      </c>
    </row>
    <row r="330" spans="1:26" x14ac:dyDescent="0.25">
      <c r="A330" s="25">
        <v>96610</v>
      </c>
      <c r="B330" s="25" t="s">
        <v>371</v>
      </c>
      <c r="C330" s="26">
        <v>48293</v>
      </c>
      <c r="D330" s="27">
        <v>430698962.27999997</v>
      </c>
      <c r="E330" s="27">
        <v>365168383.38</v>
      </c>
      <c r="F330" s="27">
        <v>65530578.899999999</v>
      </c>
      <c r="G330" s="27">
        <f>VLOOKUP(A330,'[1]saldos al 26May26'!$C$2:$I$1010,7,FALSE)</f>
        <v>-8263137.6600000001</v>
      </c>
      <c r="H330" s="27"/>
      <c r="I330" s="28"/>
      <c r="J330" s="29"/>
      <c r="K330" s="25" t="s">
        <v>29</v>
      </c>
      <c r="L330" s="25" t="s">
        <v>30</v>
      </c>
      <c r="M330" s="25" t="s">
        <v>50</v>
      </c>
      <c r="N330" s="25"/>
      <c r="O330" t="s">
        <v>80</v>
      </c>
      <c r="P330" s="30">
        <v>1502945.62</v>
      </c>
      <c r="Q330" s="30">
        <v>1164297.99</v>
      </c>
      <c r="R330" s="30">
        <v>860117.49</v>
      </c>
      <c r="S330" s="30" t="s">
        <v>33</v>
      </c>
      <c r="T330" t="s">
        <v>33</v>
      </c>
      <c r="U330" s="31" t="e">
        <v>#N/A</v>
      </c>
      <c r="V330" t="s">
        <v>34</v>
      </c>
      <c r="Y330" t="e">
        <f>VLOOKUP(A330,[2]!PRGX[[#All],[Proveedor]],1,FALSE)</f>
        <v>#REF!</v>
      </c>
    </row>
    <row r="331" spans="1:26" x14ac:dyDescent="0.25">
      <c r="A331" s="25">
        <v>336917</v>
      </c>
      <c r="B331" s="25" t="s">
        <v>372</v>
      </c>
      <c r="C331" s="26">
        <v>97692</v>
      </c>
      <c r="D331" s="27">
        <v>428877414.94700003</v>
      </c>
      <c r="E331" s="27">
        <v>356068411.36100006</v>
      </c>
      <c r="F331" s="27">
        <v>72809003.585999995</v>
      </c>
      <c r="G331" s="27">
        <f>VLOOKUP(A331,'[1]saldos al 26May26'!$C$2:$I$1010,7,FALSE)</f>
        <v>-4353577.92</v>
      </c>
      <c r="H331" s="27"/>
      <c r="I331" s="28"/>
      <c r="J331" s="29"/>
      <c r="K331" s="25" t="s">
        <v>40</v>
      </c>
      <c r="L331" s="25" t="s">
        <v>30</v>
      </c>
      <c r="M331" s="25" t="s">
        <v>55</v>
      </c>
      <c r="N331" s="25" t="s">
        <v>87</v>
      </c>
      <c r="O331" t="s">
        <v>87</v>
      </c>
      <c r="P331" s="32">
        <v>-3969014.2100000004</v>
      </c>
      <c r="Q331" s="30">
        <v>254188.5</v>
      </c>
      <c r="R331" s="30">
        <v>528370</v>
      </c>
      <c r="S331" s="30" t="s">
        <v>33</v>
      </c>
      <c r="T331" t="s">
        <v>33</v>
      </c>
      <c r="U331" s="31" t="e">
        <v>#N/A</v>
      </c>
      <c r="V331" t="s">
        <v>34</v>
      </c>
      <c r="Y331" t="e">
        <f>VLOOKUP(A331,[2]!PRGX[[#All],[Proveedor]],1,FALSE)</f>
        <v>#REF!</v>
      </c>
    </row>
    <row r="332" spans="1:26" x14ac:dyDescent="0.25">
      <c r="A332" s="52">
        <v>13111</v>
      </c>
      <c r="B332" s="52" t="s">
        <v>373</v>
      </c>
      <c r="C332" s="53">
        <v>14939</v>
      </c>
      <c r="D332" s="54">
        <v>425511487.30000001</v>
      </c>
      <c r="E332" s="27">
        <v>347468192.06</v>
      </c>
      <c r="F332" s="27">
        <v>78043295.239999995</v>
      </c>
      <c r="G332" s="54">
        <f>VLOOKUP(A332,'[1]saldos al 26May26'!$C$2:$I$1010,7,FALSE)</f>
        <v>-7312729.0700000003</v>
      </c>
      <c r="H332" s="54"/>
      <c r="I332" s="55"/>
      <c r="J332" s="56">
        <v>1056021.6796201619</v>
      </c>
      <c r="K332" s="52" t="s">
        <v>40</v>
      </c>
      <c r="L332" s="52" t="s">
        <v>30</v>
      </c>
      <c r="M332" s="52" t="s">
        <v>59</v>
      </c>
      <c r="N332" s="52" t="s">
        <v>45</v>
      </c>
      <c r="O332" s="57" t="s">
        <v>45</v>
      </c>
      <c r="P332" s="59">
        <v>-950201.17999999993</v>
      </c>
      <c r="Q332" s="58">
        <v>0</v>
      </c>
      <c r="R332" s="30">
        <v>3588006.04</v>
      </c>
      <c r="S332" s="30" t="e">
        <v>#N/A</v>
      </c>
      <c r="T332" s="57" t="s">
        <v>34</v>
      </c>
      <c r="U332" s="31" t="e">
        <v>#N/A</v>
      </c>
      <c r="V332" s="57" t="s">
        <v>34</v>
      </c>
      <c r="X332" t="s">
        <v>43</v>
      </c>
      <c r="Y332" t="e">
        <f>VLOOKUP(A332,[2]!PRGX[[#All],[Proveedor]],1,FALSE)</f>
        <v>#REF!</v>
      </c>
    </row>
    <row r="333" spans="1:26" x14ac:dyDescent="0.25">
      <c r="A333" s="25">
        <v>12518</v>
      </c>
      <c r="B333" s="25" t="s">
        <v>337</v>
      </c>
      <c r="C333" s="26">
        <v>24712</v>
      </c>
      <c r="D333" s="27">
        <v>425323275.74000001</v>
      </c>
      <c r="E333" s="27">
        <v>389156163.89999998</v>
      </c>
      <c r="F333" s="27">
        <v>36167111.840000004</v>
      </c>
      <c r="G333" s="27">
        <f>VLOOKUP(A333,'[1]saldos al 26May26'!$C$2:$I$1010,7,FALSE)</f>
        <v>-14408290.859999999</v>
      </c>
      <c r="H333" s="27"/>
      <c r="I333" s="28"/>
      <c r="J333" s="29"/>
      <c r="K333" s="25" t="s">
        <v>29</v>
      </c>
      <c r="L333" s="25" t="s">
        <v>30</v>
      </c>
      <c r="M333" s="25" t="s">
        <v>50</v>
      </c>
      <c r="N333" s="25"/>
      <c r="O333" t="s">
        <v>67</v>
      </c>
      <c r="P333" s="30">
        <v>3326003.04</v>
      </c>
      <c r="Q333" s="30">
        <v>4479510.87</v>
      </c>
      <c r="R333" s="30">
        <v>120842.04</v>
      </c>
      <c r="S333" s="30" t="s">
        <v>63</v>
      </c>
      <c r="T333" t="s">
        <v>33</v>
      </c>
      <c r="U333" s="31" t="e">
        <v>#N/A</v>
      </c>
      <c r="V333" t="s">
        <v>34</v>
      </c>
      <c r="Y333" t="e">
        <f>VLOOKUP(A333,[2]!PRGX[[#All],[Proveedor]],1,FALSE)</f>
        <v>#REF!</v>
      </c>
    </row>
    <row r="334" spans="1:26" x14ac:dyDescent="0.25">
      <c r="A334" s="25">
        <v>20252</v>
      </c>
      <c r="B334" s="25" t="s">
        <v>374</v>
      </c>
      <c r="C334" s="26">
        <v>38270</v>
      </c>
      <c r="D334" s="27">
        <v>424781654.04000002</v>
      </c>
      <c r="E334" s="27">
        <v>317799716.77000004</v>
      </c>
      <c r="F334" s="27">
        <v>106981937.27</v>
      </c>
      <c r="G334" s="27">
        <f>VLOOKUP(A334,'[1]saldos al 26May26'!$C$2:$I$1010,7,FALSE)</f>
        <v>-67381241.5</v>
      </c>
      <c r="H334" s="27"/>
      <c r="I334" s="28" t="s">
        <v>27</v>
      </c>
      <c r="J334" s="29"/>
      <c r="K334" s="25" t="s">
        <v>29</v>
      </c>
      <c r="L334" s="25" t="s">
        <v>30</v>
      </c>
      <c r="M334" s="25" t="s">
        <v>31</v>
      </c>
      <c r="N334" s="25"/>
      <c r="O334" t="s">
        <v>36</v>
      </c>
      <c r="P334" s="32">
        <v>-2018211.6199999999</v>
      </c>
      <c r="Q334" s="30">
        <v>0</v>
      </c>
      <c r="R334" s="30">
        <v>2296526.83</v>
      </c>
      <c r="S334" s="30" t="s">
        <v>33</v>
      </c>
      <c r="T334" t="s">
        <v>33</v>
      </c>
      <c r="U334" s="31" t="e">
        <v>#N/A</v>
      </c>
      <c r="V334" t="s">
        <v>34</v>
      </c>
      <c r="Y334" t="e">
        <f>VLOOKUP(A334,[2]!PRGX[[#All],[Proveedor]],1,FALSE)</f>
        <v>#REF!</v>
      </c>
      <c r="Z334">
        <v>20252</v>
      </c>
    </row>
    <row r="335" spans="1:26" x14ac:dyDescent="0.25">
      <c r="A335" s="25">
        <v>137</v>
      </c>
      <c r="B335" s="25" t="s">
        <v>375</v>
      </c>
      <c r="C335" s="26">
        <v>34730</v>
      </c>
      <c r="D335" s="27">
        <v>424037673</v>
      </c>
      <c r="E335" s="27">
        <v>364761805</v>
      </c>
      <c r="F335" s="27">
        <v>59275868</v>
      </c>
      <c r="G335" s="27">
        <f>VLOOKUP(A335,'[1]saldos al 26May26'!$C$2:$I$1010,7,FALSE)</f>
        <v>-10580474.65</v>
      </c>
      <c r="H335" s="27"/>
      <c r="I335" s="28"/>
      <c r="J335" s="29"/>
      <c r="K335" s="25" t="s">
        <v>29</v>
      </c>
      <c r="L335" s="25" t="s">
        <v>30</v>
      </c>
      <c r="M335" s="25" t="s">
        <v>59</v>
      </c>
      <c r="N335" s="25"/>
      <c r="O335" t="s">
        <v>38</v>
      </c>
      <c r="P335" s="32">
        <v>-978647.92</v>
      </c>
      <c r="Q335" s="30">
        <v>362645.76000000001</v>
      </c>
      <c r="R335" s="30">
        <v>6300000</v>
      </c>
      <c r="S335" s="30" t="s">
        <v>33</v>
      </c>
      <c r="T335" t="s">
        <v>33</v>
      </c>
      <c r="U335" s="31" t="e">
        <v>#N/A</v>
      </c>
      <c r="V335" t="s">
        <v>34</v>
      </c>
      <c r="Y335" t="e">
        <f>VLOOKUP(A335,[2]!PRGX[[#All],[Proveedor]],1,FALSE)</f>
        <v>#REF!</v>
      </c>
    </row>
    <row r="336" spans="1:26" x14ac:dyDescent="0.25">
      <c r="A336" s="25">
        <v>7641</v>
      </c>
      <c r="B336" s="25" t="s">
        <v>376</v>
      </c>
      <c r="C336" s="26">
        <v>1168522</v>
      </c>
      <c r="D336" s="27">
        <v>419244275.88</v>
      </c>
      <c r="E336" s="27">
        <v>372579361.60000002</v>
      </c>
      <c r="F336" s="27">
        <v>46664914.280000001</v>
      </c>
      <c r="G336" s="27">
        <f>VLOOKUP(A336,'[1]saldos al 26May26'!$C$2:$I$1010,7,FALSE)</f>
        <v>-850054.46</v>
      </c>
      <c r="H336" s="27"/>
      <c r="I336" s="28"/>
      <c r="J336" s="29"/>
      <c r="K336" s="25" t="s">
        <v>29</v>
      </c>
      <c r="L336" s="25" t="s">
        <v>30</v>
      </c>
      <c r="M336" s="25" t="s">
        <v>55</v>
      </c>
      <c r="N336" s="25"/>
      <c r="O336" t="s">
        <v>67</v>
      </c>
      <c r="P336" s="32">
        <v>-602817.59</v>
      </c>
      <c r="Q336" s="30">
        <v>60587.7</v>
      </c>
      <c r="R336" s="30">
        <v>850913</v>
      </c>
      <c r="S336" s="30" t="s">
        <v>33</v>
      </c>
      <c r="T336" t="s">
        <v>33</v>
      </c>
      <c r="U336" s="31" t="e">
        <v>#N/A</v>
      </c>
      <c r="V336" t="s">
        <v>34</v>
      </c>
      <c r="Y336" t="e">
        <f>VLOOKUP(A336,[2]!PRGX[[#All],[Proveedor]],1,FALSE)</f>
        <v>#REF!</v>
      </c>
    </row>
    <row r="337" spans="1:26" x14ac:dyDescent="0.25">
      <c r="A337" s="25">
        <v>21599</v>
      </c>
      <c r="B337" s="25" t="s">
        <v>377</v>
      </c>
      <c r="C337" s="26">
        <v>8465</v>
      </c>
      <c r="D337" s="27">
        <v>419087994.17210001</v>
      </c>
      <c r="E337" s="27">
        <v>343984663.64910001</v>
      </c>
      <c r="F337" s="27">
        <v>75103330.523000002</v>
      </c>
      <c r="G337" s="27">
        <f>VLOOKUP(A337,'[1]saldos al 26May26'!$C$2:$I$1010,7,FALSE)</f>
        <v>-11008458.01</v>
      </c>
      <c r="H337" s="27"/>
      <c r="I337" s="28"/>
      <c r="J337" s="29"/>
      <c r="K337" s="25" t="s">
        <v>29</v>
      </c>
      <c r="L337" s="25" t="s">
        <v>30</v>
      </c>
      <c r="M337" s="25" t="s">
        <v>59</v>
      </c>
      <c r="N337" s="25"/>
      <c r="O337" t="s">
        <v>32</v>
      </c>
      <c r="P337" s="32">
        <v>-279585.5</v>
      </c>
      <c r="Q337" s="30">
        <v>5819.84</v>
      </c>
      <c r="R337" s="30"/>
      <c r="S337" s="30" t="s">
        <v>33</v>
      </c>
      <c r="T337" t="s">
        <v>33</v>
      </c>
      <c r="U337" s="31" t="s">
        <v>33</v>
      </c>
      <c r="V337" t="s">
        <v>33</v>
      </c>
      <c r="Y337" t="e">
        <f>VLOOKUP(A337,[2]!PRGX[[#All],[Proveedor]],1,FALSE)</f>
        <v>#REF!</v>
      </c>
    </row>
    <row r="338" spans="1:26" x14ac:dyDescent="0.25">
      <c r="A338" s="25">
        <v>51615</v>
      </c>
      <c r="B338" s="25" t="s">
        <v>378</v>
      </c>
      <c r="C338" s="26">
        <v>4493</v>
      </c>
      <c r="D338" s="27">
        <v>418923678.09799999</v>
      </c>
      <c r="E338" s="27">
        <v>410478435.28600001</v>
      </c>
      <c r="F338" s="27">
        <v>8445242.8120000008</v>
      </c>
      <c r="G338" s="27">
        <f>VLOOKUP(A338,'[1]saldos al 26May26'!$C$2:$I$1010,7,FALSE)</f>
        <v>-2290141.0499999998</v>
      </c>
      <c r="H338" s="27"/>
      <c r="I338" s="28"/>
      <c r="J338" s="29"/>
      <c r="K338" s="25" t="s">
        <v>29</v>
      </c>
      <c r="L338" s="25" t="s">
        <v>30</v>
      </c>
      <c r="M338" s="25" t="s">
        <v>59</v>
      </c>
      <c r="N338" s="25"/>
      <c r="O338" t="s">
        <v>36</v>
      </c>
      <c r="P338" s="32">
        <v>-2897544.06</v>
      </c>
      <c r="Q338" s="30">
        <v>2211763.31</v>
      </c>
      <c r="R338" s="30"/>
      <c r="S338" s="30" t="s">
        <v>33</v>
      </c>
      <c r="T338" t="s">
        <v>33</v>
      </c>
      <c r="U338" s="31" t="s">
        <v>33</v>
      </c>
      <c r="V338" t="s">
        <v>33</v>
      </c>
      <c r="Y338" t="e">
        <f>VLOOKUP(A338,[2]!PRGX[[#All],[Proveedor]],1,FALSE)</f>
        <v>#REF!</v>
      </c>
    </row>
    <row r="339" spans="1:26" x14ac:dyDescent="0.25">
      <c r="A339" s="25">
        <v>318493</v>
      </c>
      <c r="B339" s="25" t="s">
        <v>379</v>
      </c>
      <c r="C339" s="26">
        <v>18908</v>
      </c>
      <c r="D339" s="27">
        <v>79479317.900000006</v>
      </c>
      <c r="E339" s="27">
        <v>67512140.670000002</v>
      </c>
      <c r="F339" s="27">
        <v>11967177.23</v>
      </c>
      <c r="G339" s="27">
        <f>VLOOKUP(A339,'[1]saldos al 26May26'!$C$2:$I$1010,7,FALSE)</f>
        <v>-2989680.45</v>
      </c>
      <c r="H339" s="27"/>
      <c r="I339" s="28"/>
      <c r="J339" s="29">
        <v>175210.67407480901</v>
      </c>
      <c r="K339" s="25" t="s">
        <v>40</v>
      </c>
      <c r="L339" s="25" t="s">
        <v>30</v>
      </c>
      <c r="M339" s="25" t="s">
        <v>31</v>
      </c>
      <c r="N339" s="25" t="s">
        <v>56</v>
      </c>
      <c r="O339" t="s">
        <v>56</v>
      </c>
      <c r="P339" s="32">
        <v>-874559.67999999993</v>
      </c>
      <c r="Q339" s="30">
        <v>136114.71</v>
      </c>
      <c r="R339" s="30">
        <v>127844</v>
      </c>
      <c r="S339" s="30" t="e">
        <v>#N/A</v>
      </c>
      <c r="T339" t="s">
        <v>34</v>
      </c>
      <c r="U339" s="31">
        <v>0</v>
      </c>
      <c r="V339" t="s">
        <v>42</v>
      </c>
      <c r="Y339" t="e">
        <f>VLOOKUP(A339,[2]!PRGX[[#All],[Proveedor]],1,FALSE)</f>
        <v>#REF!</v>
      </c>
    </row>
    <row r="340" spans="1:26" x14ac:dyDescent="0.25">
      <c r="A340" s="25">
        <v>11042</v>
      </c>
      <c r="B340" s="25" t="s">
        <v>380</v>
      </c>
      <c r="C340" s="26">
        <v>33270</v>
      </c>
      <c r="D340" s="27">
        <v>416794660.23000002</v>
      </c>
      <c r="E340" s="27">
        <v>336162842</v>
      </c>
      <c r="F340" s="27">
        <v>80631818.230000004</v>
      </c>
      <c r="G340" s="27">
        <f>VLOOKUP(A340,'[1]saldos al 26May26'!$C$2:$I$1010,7,FALSE)</f>
        <v>-41459947.119999997</v>
      </c>
      <c r="H340" s="27"/>
      <c r="I340" s="28"/>
      <c r="J340" s="29"/>
      <c r="K340" s="25" t="s">
        <v>29</v>
      </c>
      <c r="L340" s="25" t="s">
        <v>30</v>
      </c>
      <c r="M340" s="25" t="s">
        <v>59</v>
      </c>
      <c r="N340" s="25"/>
      <c r="O340" t="s">
        <v>80</v>
      </c>
      <c r="P340" s="30">
        <v>420903.25</v>
      </c>
      <c r="Q340" s="30">
        <v>0</v>
      </c>
      <c r="R340" s="30">
        <v>2700000</v>
      </c>
      <c r="S340" s="30" t="s">
        <v>63</v>
      </c>
      <c r="T340" t="s">
        <v>33</v>
      </c>
      <c r="U340" s="31" t="s">
        <v>33</v>
      </c>
      <c r="V340" t="s">
        <v>33</v>
      </c>
      <c r="Y340" t="e">
        <f>VLOOKUP(A340,[2]!PRGX[[#All],[Proveedor]],1,FALSE)</f>
        <v>#REF!</v>
      </c>
    </row>
    <row r="341" spans="1:26" x14ac:dyDescent="0.25">
      <c r="A341" s="25">
        <v>20436</v>
      </c>
      <c r="B341" s="25" t="s">
        <v>381</v>
      </c>
      <c r="C341" s="26">
        <v>25966</v>
      </c>
      <c r="D341" s="27">
        <v>415609315.30000001</v>
      </c>
      <c r="E341" s="27">
        <v>376932132.98000002</v>
      </c>
      <c r="F341" s="27">
        <v>38677182.32</v>
      </c>
      <c r="G341" s="27">
        <f>VLOOKUP(A341,'[1]saldos al 26May26'!$C$2:$I$1010,7,FALSE)</f>
        <v>-24005430.48</v>
      </c>
      <c r="H341" s="27"/>
      <c r="I341" s="28"/>
      <c r="J341" s="29"/>
      <c r="K341" s="25" t="s">
        <v>29</v>
      </c>
      <c r="L341" s="25" t="s">
        <v>30</v>
      </c>
      <c r="M341" s="25" t="s">
        <v>31</v>
      </c>
      <c r="N341" s="25"/>
      <c r="O341" t="s">
        <v>87</v>
      </c>
      <c r="P341" s="32">
        <v>-3692312.03</v>
      </c>
      <c r="Q341" s="30">
        <v>242683.82</v>
      </c>
      <c r="R341" s="30">
        <v>2710391.27</v>
      </c>
      <c r="S341" s="30" t="s">
        <v>63</v>
      </c>
      <c r="T341" t="s">
        <v>33</v>
      </c>
      <c r="U341" s="31">
        <v>0</v>
      </c>
      <c r="V341" t="s">
        <v>42</v>
      </c>
      <c r="Y341" t="e">
        <f>VLOOKUP(A341,[2]!PRGX[[#All],[Proveedor]],1,FALSE)</f>
        <v>#REF!</v>
      </c>
    </row>
    <row r="342" spans="1:26" x14ac:dyDescent="0.25">
      <c r="A342" s="25">
        <v>348557</v>
      </c>
      <c r="B342" s="25" t="s">
        <v>382</v>
      </c>
      <c r="C342" s="26">
        <v>15239</v>
      </c>
      <c r="D342" s="27">
        <v>408160913.99000001</v>
      </c>
      <c r="E342" s="27">
        <v>349843286.47000003</v>
      </c>
      <c r="F342" s="27">
        <v>58317627.520000003</v>
      </c>
      <c r="G342" s="27">
        <f>VLOOKUP(A342,'[1]saldos al 26May26'!$C$2:$I$1010,7,FALSE)</f>
        <v>-13466650.369999999</v>
      </c>
      <c r="H342" s="27"/>
      <c r="I342" s="28"/>
      <c r="J342" s="29"/>
      <c r="K342" s="25" t="s">
        <v>29</v>
      </c>
      <c r="L342" s="25" t="s">
        <v>30</v>
      </c>
      <c r="M342" s="25" t="s">
        <v>31</v>
      </c>
      <c r="N342" s="25"/>
      <c r="O342" t="s">
        <v>67</v>
      </c>
      <c r="P342" s="30">
        <v>1949067.95</v>
      </c>
      <c r="Q342" s="30">
        <v>3225667.11</v>
      </c>
      <c r="R342" s="30"/>
      <c r="S342" s="30" t="s">
        <v>63</v>
      </c>
      <c r="T342" t="s">
        <v>33</v>
      </c>
      <c r="U342" s="31">
        <v>0</v>
      </c>
      <c r="V342" t="s">
        <v>42</v>
      </c>
      <c r="Y342" t="e">
        <f>VLOOKUP(A342,[2]!PRGX[[#All],[Proveedor]],1,FALSE)</f>
        <v>#REF!</v>
      </c>
    </row>
    <row r="343" spans="1:26" x14ac:dyDescent="0.25">
      <c r="A343" s="25">
        <v>51698</v>
      </c>
      <c r="B343" s="25" t="s">
        <v>383</v>
      </c>
      <c r="C343" s="26">
        <v>38493</v>
      </c>
      <c r="D343" s="27">
        <v>405114504.39039999</v>
      </c>
      <c r="E343" s="27">
        <v>319591503.486</v>
      </c>
      <c r="F343" s="27">
        <v>85523000.904400006</v>
      </c>
      <c r="G343" s="27">
        <f>VLOOKUP(A343,'[1]saldos al 26May26'!$C$2:$I$1010,7,FALSE)</f>
        <v>-25266187.449999999</v>
      </c>
      <c r="H343" s="27"/>
      <c r="I343" s="28"/>
      <c r="J343" s="29"/>
      <c r="K343" s="25" t="s">
        <v>29</v>
      </c>
      <c r="L343" s="25" t="s">
        <v>30</v>
      </c>
      <c r="M343" s="25" t="s">
        <v>59</v>
      </c>
      <c r="N343" s="25"/>
      <c r="O343" t="s">
        <v>32</v>
      </c>
      <c r="P343" s="30">
        <v>5625342.6699999999</v>
      </c>
      <c r="Q343" s="30">
        <v>2522248.6800000002</v>
      </c>
      <c r="R343" s="30">
        <v>25340</v>
      </c>
      <c r="S343" s="30" t="s">
        <v>63</v>
      </c>
      <c r="T343" t="s">
        <v>33</v>
      </c>
      <c r="U343" s="31" t="s">
        <v>33</v>
      </c>
      <c r="V343" t="s">
        <v>33</v>
      </c>
      <c r="Y343" t="e">
        <f>VLOOKUP(A343,[2]!PRGX[[#All],[Proveedor]],1,FALSE)</f>
        <v>#REF!</v>
      </c>
    </row>
    <row r="344" spans="1:26" x14ac:dyDescent="0.25">
      <c r="A344" s="25">
        <v>58750</v>
      </c>
      <c r="B344" s="25" t="s">
        <v>384</v>
      </c>
      <c r="C344" s="26">
        <v>20298</v>
      </c>
      <c r="D344" s="27">
        <v>404927957.72000003</v>
      </c>
      <c r="E344" s="27">
        <v>330635160.84000003</v>
      </c>
      <c r="F344" s="27">
        <v>74292796.879999995</v>
      </c>
      <c r="G344" s="27">
        <f>VLOOKUP(A344,'[1]saldos al 26May26'!$C$2:$I$1010,7,FALSE)</f>
        <v>-7914903.1799999997</v>
      </c>
      <c r="H344" s="27"/>
      <c r="I344" s="28"/>
      <c r="J344" s="29"/>
      <c r="K344" s="25" t="s">
        <v>29</v>
      </c>
      <c r="L344" s="25" t="s">
        <v>30</v>
      </c>
      <c r="M344" s="25" t="s">
        <v>59</v>
      </c>
      <c r="N344" s="25"/>
      <c r="O344" t="s">
        <v>32</v>
      </c>
      <c r="P344" s="30">
        <v>32117089.73</v>
      </c>
      <c r="Q344" s="30">
        <v>381980.04</v>
      </c>
      <c r="R344" s="30"/>
      <c r="S344" s="30" t="s">
        <v>63</v>
      </c>
      <c r="T344" t="s">
        <v>33</v>
      </c>
      <c r="U344" s="31" t="s">
        <v>33</v>
      </c>
      <c r="V344" t="s">
        <v>33</v>
      </c>
      <c r="Y344" t="e">
        <f>VLOOKUP(A344,[2]!PRGX[[#All],[Proveedor]],1,FALSE)</f>
        <v>#REF!</v>
      </c>
    </row>
    <row r="345" spans="1:26" x14ac:dyDescent="0.25">
      <c r="A345" s="25">
        <v>21367</v>
      </c>
      <c r="B345" s="25" t="s">
        <v>385</v>
      </c>
      <c r="C345" s="26">
        <v>73087</v>
      </c>
      <c r="D345" s="27">
        <v>404740343.63</v>
      </c>
      <c r="E345" s="27">
        <v>344498404.94999999</v>
      </c>
      <c r="F345" s="27">
        <v>60241938.68</v>
      </c>
      <c r="G345" s="27">
        <f>VLOOKUP(A345,'[1]saldos al 26May26'!$C$2:$I$1010,7,FALSE)</f>
        <v>-15869400.390000001</v>
      </c>
      <c r="H345" s="27"/>
      <c r="I345" s="28"/>
      <c r="J345" s="29"/>
      <c r="K345" s="25" t="s">
        <v>29</v>
      </c>
      <c r="L345" s="25" t="s">
        <v>30</v>
      </c>
      <c r="M345" s="25" t="s">
        <v>59</v>
      </c>
      <c r="N345" s="25"/>
      <c r="O345" t="s">
        <v>70</v>
      </c>
      <c r="P345" s="30">
        <v>485090.47</v>
      </c>
      <c r="Q345" s="30">
        <v>348252.34</v>
      </c>
      <c r="R345" s="30">
        <v>151069.79999999999</v>
      </c>
      <c r="S345" s="30" t="s">
        <v>63</v>
      </c>
      <c r="T345" t="s">
        <v>33</v>
      </c>
      <c r="U345" s="31">
        <v>0</v>
      </c>
      <c r="V345" t="s">
        <v>42</v>
      </c>
      <c r="Y345" t="e">
        <f>VLOOKUP(A345,[2]!PRGX[[#All],[Proveedor]],1,FALSE)</f>
        <v>#REF!</v>
      </c>
    </row>
    <row r="346" spans="1:26" x14ac:dyDescent="0.25">
      <c r="A346" s="25">
        <v>20870</v>
      </c>
      <c r="B346" s="25" t="s">
        <v>386</v>
      </c>
      <c r="C346" s="26">
        <v>1987</v>
      </c>
      <c r="D346" s="27">
        <v>46316043.450000003</v>
      </c>
      <c r="E346" s="27">
        <v>35748007.650000006</v>
      </c>
      <c r="F346" s="27">
        <v>10568035.800000001</v>
      </c>
      <c r="G346" s="27">
        <f>VLOOKUP(A346,'[1]saldos al 26May26'!$C$2:$I$1010,7,FALSE)</f>
        <v>-2128730.66</v>
      </c>
      <c r="H346" s="27"/>
      <c r="I346" s="28"/>
      <c r="J346" s="29">
        <v>140745.87729887999</v>
      </c>
      <c r="K346" s="25" t="s">
        <v>40</v>
      </c>
      <c r="L346" s="25" t="s">
        <v>30</v>
      </c>
      <c r="M346" s="25" t="s">
        <v>31</v>
      </c>
      <c r="N346" s="25" t="s">
        <v>56</v>
      </c>
      <c r="O346" t="s">
        <v>56</v>
      </c>
      <c r="P346" s="32">
        <v>-67321.3</v>
      </c>
      <c r="Q346" s="30">
        <v>0</v>
      </c>
      <c r="R346" s="30">
        <v>365174.49</v>
      </c>
      <c r="S346" s="30" t="e">
        <v>#N/A</v>
      </c>
      <c r="T346" t="s">
        <v>34</v>
      </c>
      <c r="U346" s="31">
        <v>0</v>
      </c>
      <c r="V346" t="s">
        <v>42</v>
      </c>
      <c r="Y346" t="e">
        <f>VLOOKUP(A346,[2]!PRGX[[#All],[Proveedor]],1,FALSE)</f>
        <v>#REF!</v>
      </c>
    </row>
    <row r="347" spans="1:26" x14ac:dyDescent="0.25">
      <c r="A347" s="25">
        <v>21240</v>
      </c>
      <c r="B347" s="25" t="s">
        <v>387</v>
      </c>
      <c r="C347" s="26">
        <v>162024</v>
      </c>
      <c r="D347" s="27">
        <v>398023169.55000001</v>
      </c>
      <c r="E347" s="27">
        <v>319627996.24000001</v>
      </c>
      <c r="F347" s="27">
        <v>78395173.310000002</v>
      </c>
      <c r="G347" s="27">
        <f>VLOOKUP(A347,'[1]saldos al 26May26'!$C$2:$I$1010,7,FALSE)</f>
        <v>-9840702.8000000007</v>
      </c>
      <c r="H347" s="27"/>
      <c r="I347" s="28" t="s">
        <v>27</v>
      </c>
      <c r="J347" s="29"/>
      <c r="K347" s="25" t="s">
        <v>29</v>
      </c>
      <c r="L347" s="25" t="s">
        <v>30</v>
      </c>
      <c r="M347" s="25" t="s">
        <v>55</v>
      </c>
      <c r="N347" s="25"/>
      <c r="O347" t="s">
        <v>51</v>
      </c>
      <c r="P347" s="32">
        <v>-4910570.62</v>
      </c>
      <c r="Q347" s="30">
        <v>3050.6</v>
      </c>
      <c r="R347" s="30"/>
      <c r="S347" s="30" t="s">
        <v>33</v>
      </c>
      <c r="T347" t="s">
        <v>33</v>
      </c>
      <c r="U347" s="31" t="e">
        <v>#N/A</v>
      </c>
      <c r="V347" t="s">
        <v>34</v>
      </c>
      <c r="Y347" t="e">
        <f>VLOOKUP(A347,[2]!PRGX[[#All],[Proveedor]],1,FALSE)</f>
        <v>#REF!</v>
      </c>
      <c r="Z347">
        <v>21240</v>
      </c>
    </row>
    <row r="348" spans="1:26" x14ac:dyDescent="0.25">
      <c r="A348" s="25">
        <v>311274</v>
      </c>
      <c r="B348" s="25" t="s">
        <v>388</v>
      </c>
      <c r="C348" s="26">
        <v>258719</v>
      </c>
      <c r="D348" s="27">
        <v>396977363.05510002</v>
      </c>
      <c r="E348" s="27">
        <v>354657046.73010004</v>
      </c>
      <c r="F348" s="27">
        <v>42320316.325000003</v>
      </c>
      <c r="G348" s="27">
        <f>VLOOKUP(A348,'[1]saldos al 26May26'!$C$2:$I$1010,7,FALSE)</f>
        <v>-4206931.79</v>
      </c>
      <c r="H348" s="27"/>
      <c r="I348" s="28"/>
      <c r="J348" s="29"/>
      <c r="K348" s="25" t="s">
        <v>29</v>
      </c>
      <c r="L348" s="25" t="s">
        <v>30</v>
      </c>
      <c r="M348" s="25" t="s">
        <v>59</v>
      </c>
      <c r="N348" s="25"/>
      <c r="O348" t="s">
        <v>45</v>
      </c>
      <c r="P348" s="32">
        <v>-256614.44</v>
      </c>
      <c r="Q348" s="30">
        <v>237321.09</v>
      </c>
      <c r="R348" s="30">
        <v>253675.59</v>
      </c>
      <c r="S348" s="30">
        <v>0</v>
      </c>
      <c r="T348" t="s">
        <v>33</v>
      </c>
      <c r="U348" s="31" t="e">
        <v>#N/A</v>
      </c>
      <c r="V348" t="s">
        <v>34</v>
      </c>
      <c r="Y348" t="e">
        <f>VLOOKUP(A348,[2]!PRGX[[#All],[Proveedor]],1,FALSE)</f>
        <v>#REF!</v>
      </c>
    </row>
    <row r="349" spans="1:26" x14ac:dyDescent="0.25">
      <c r="A349" s="25">
        <v>326025</v>
      </c>
      <c r="B349" s="25" t="s">
        <v>389</v>
      </c>
      <c r="C349" s="26">
        <v>11732</v>
      </c>
      <c r="D349" s="27">
        <v>396911607.52719998</v>
      </c>
      <c r="E349" s="27">
        <v>265841729.47309998</v>
      </c>
      <c r="F349" s="27">
        <v>131069878.05410001</v>
      </c>
      <c r="G349" s="27">
        <f>VLOOKUP(A349,'[1]saldos al 26May26'!$C$2:$I$1010,7,FALSE)</f>
        <v>-1925685.24</v>
      </c>
      <c r="H349" s="27"/>
      <c r="I349" s="28" t="s">
        <v>27</v>
      </c>
      <c r="J349" s="29"/>
      <c r="K349" s="25" t="s">
        <v>29</v>
      </c>
      <c r="L349" s="25" t="s">
        <v>30</v>
      </c>
      <c r="M349" s="25" t="s">
        <v>50</v>
      </c>
      <c r="N349" s="25"/>
      <c r="O349" t="s">
        <v>70</v>
      </c>
      <c r="P349" s="32">
        <v>-2261017.9299999997</v>
      </c>
      <c r="Q349" s="30">
        <v>0</v>
      </c>
      <c r="R349" s="30">
        <v>2666384.33</v>
      </c>
      <c r="S349" s="30" t="s">
        <v>63</v>
      </c>
      <c r="T349" t="s">
        <v>33</v>
      </c>
      <c r="U349" s="31" t="e">
        <v>#N/A</v>
      </c>
      <c r="V349" t="s">
        <v>34</v>
      </c>
      <c r="Y349" t="e">
        <f>VLOOKUP(A349,[2]!PRGX[[#All],[Proveedor]],1,FALSE)</f>
        <v>#REF!</v>
      </c>
      <c r="Z349">
        <v>326025</v>
      </c>
    </row>
    <row r="350" spans="1:26" x14ac:dyDescent="0.25">
      <c r="A350" s="25">
        <v>324780</v>
      </c>
      <c r="B350" s="25" t="s">
        <v>390</v>
      </c>
      <c r="C350" s="26">
        <v>845760</v>
      </c>
      <c r="D350" s="27">
        <v>391377805.21850002</v>
      </c>
      <c r="E350" s="27">
        <v>327618690.7525</v>
      </c>
      <c r="F350" s="27">
        <v>63759114.465999998</v>
      </c>
      <c r="G350" s="27">
        <f>VLOOKUP(A350,'[1]saldos al 26May26'!$C$2:$I$1010,7,FALSE)</f>
        <v>-1640657.21</v>
      </c>
      <c r="H350" s="27"/>
      <c r="I350" s="28"/>
      <c r="J350" s="29"/>
      <c r="K350" s="25" t="s">
        <v>40</v>
      </c>
      <c r="L350" s="25" t="s">
        <v>30</v>
      </c>
      <c r="M350" s="25" t="s">
        <v>55</v>
      </c>
      <c r="N350" s="25" t="s">
        <v>32</v>
      </c>
      <c r="O350" t="s">
        <v>32</v>
      </c>
      <c r="P350" s="30">
        <v>6003432.2599999998</v>
      </c>
      <c r="Q350" s="30">
        <v>7030.16</v>
      </c>
      <c r="R350" s="30"/>
      <c r="S350" s="30" t="e">
        <v>#N/A</v>
      </c>
      <c r="T350" t="s">
        <v>34</v>
      </c>
      <c r="U350" s="31" t="e">
        <v>#N/A</v>
      </c>
      <c r="V350" t="s">
        <v>34</v>
      </c>
      <c r="Y350" t="e">
        <f>VLOOKUP(A350,[2]!PRGX[[#All],[Proveedor]],1,FALSE)</f>
        <v>#REF!</v>
      </c>
    </row>
    <row r="351" spans="1:26" x14ac:dyDescent="0.25">
      <c r="A351" s="25">
        <v>9202</v>
      </c>
      <c r="B351" s="25" t="s">
        <v>391</v>
      </c>
      <c r="C351" s="26">
        <v>15311</v>
      </c>
      <c r="D351" s="27">
        <v>391247929.53829998</v>
      </c>
      <c r="E351" s="27">
        <v>350837169.02149999</v>
      </c>
      <c r="F351" s="27">
        <v>40410760.516800001</v>
      </c>
      <c r="G351" s="27">
        <f>VLOOKUP(A351,'[1]saldos al 26May26'!$C$2:$I$1010,7,FALSE)</f>
        <v>-5964567.1100000003</v>
      </c>
      <c r="H351" s="27"/>
      <c r="I351" s="28"/>
      <c r="J351" s="29"/>
      <c r="K351" s="25" t="s">
        <v>29</v>
      </c>
      <c r="L351" s="25" t="s">
        <v>30</v>
      </c>
      <c r="M351" s="25" t="s">
        <v>59</v>
      </c>
      <c r="N351" s="25"/>
      <c r="O351" t="s">
        <v>87</v>
      </c>
      <c r="P351" s="30">
        <v>230015.18</v>
      </c>
      <c r="Q351" s="30">
        <v>129445.35</v>
      </c>
      <c r="R351" s="30"/>
      <c r="S351" s="30" t="s">
        <v>33</v>
      </c>
      <c r="T351" t="s">
        <v>33</v>
      </c>
      <c r="U351" s="31" t="e">
        <v>#N/A</v>
      </c>
      <c r="V351" t="s">
        <v>34</v>
      </c>
      <c r="Y351" t="e">
        <f>VLOOKUP(A351,[2]!PRGX[[#All],[Proveedor]],1,FALSE)</f>
        <v>#REF!</v>
      </c>
    </row>
    <row r="352" spans="1:26" x14ac:dyDescent="0.25">
      <c r="A352" s="25">
        <v>15329</v>
      </c>
      <c r="B352" s="25" t="s">
        <v>392</v>
      </c>
      <c r="C352" s="26">
        <v>65090</v>
      </c>
      <c r="D352" s="27">
        <v>388874970.25999999</v>
      </c>
      <c r="E352" s="27">
        <v>344815002.31</v>
      </c>
      <c r="F352" s="27">
        <v>44059967.950000003</v>
      </c>
      <c r="G352" s="27">
        <f>VLOOKUP(A352,'[1]saldos al 26May26'!$C$2:$I$1010,7,FALSE)</f>
        <v>-3004023.09</v>
      </c>
      <c r="H352" s="27"/>
      <c r="I352" s="28"/>
      <c r="J352" s="29"/>
      <c r="K352" s="25" t="s">
        <v>29</v>
      </c>
      <c r="L352" s="25" t="s">
        <v>30</v>
      </c>
      <c r="M352" s="25" t="s">
        <v>59</v>
      </c>
      <c r="N352" s="25"/>
      <c r="O352" t="s">
        <v>41</v>
      </c>
      <c r="P352" s="32">
        <v>-125763.56</v>
      </c>
      <c r="Q352" s="30">
        <v>45077</v>
      </c>
      <c r="R352" s="30">
        <v>337634.29</v>
      </c>
      <c r="S352" s="30" t="s">
        <v>33</v>
      </c>
      <c r="T352" t="s">
        <v>33</v>
      </c>
      <c r="U352" s="31" t="s">
        <v>33</v>
      </c>
      <c r="V352" t="s">
        <v>33</v>
      </c>
      <c r="Y352" t="e">
        <f>VLOOKUP(A352,[2]!PRGX[[#All],[Proveedor]],1,FALSE)</f>
        <v>#REF!</v>
      </c>
    </row>
    <row r="353" spans="1:26" x14ac:dyDescent="0.25">
      <c r="A353" s="36">
        <v>21931</v>
      </c>
      <c r="B353" s="36" t="s">
        <v>393</v>
      </c>
      <c r="C353" s="37">
        <v>13952</v>
      </c>
      <c r="D353" s="38">
        <v>388831111.60339999</v>
      </c>
      <c r="E353" s="38">
        <v>384414590.50339997</v>
      </c>
      <c r="F353" s="38">
        <v>4416521.0999999996</v>
      </c>
      <c r="G353" s="38">
        <f>VLOOKUP(A353,'[1]saldos al 26May26'!$C$2:$I$1010,7,FALSE)</f>
        <v>11463.01</v>
      </c>
      <c r="H353" s="39" t="s">
        <v>54</v>
      </c>
      <c r="I353" s="40"/>
      <c r="J353" s="41"/>
      <c r="K353" s="36" t="s">
        <v>29</v>
      </c>
      <c r="L353" s="36" t="s">
        <v>30</v>
      </c>
      <c r="M353" s="36" t="s">
        <v>55</v>
      </c>
      <c r="N353" s="25"/>
      <c r="O353" s="42" t="s">
        <v>80</v>
      </c>
      <c r="P353" s="32">
        <v>-4549992.08</v>
      </c>
      <c r="Q353" s="30">
        <v>3472053.39</v>
      </c>
      <c r="R353" s="30"/>
      <c r="S353" s="30" t="s">
        <v>33</v>
      </c>
      <c r="T353" t="s">
        <v>33</v>
      </c>
      <c r="U353" s="31" t="e">
        <v>#N/A</v>
      </c>
      <c r="V353" t="s">
        <v>34</v>
      </c>
      <c r="Y353" t="e">
        <f>VLOOKUP(A353,[2]!PRGX[[#All],[Proveedor]],1,FALSE)</f>
        <v>#REF!</v>
      </c>
    </row>
    <row r="354" spans="1:26" x14ac:dyDescent="0.25">
      <c r="A354" s="25">
        <v>2949</v>
      </c>
      <c r="B354" s="25" t="s">
        <v>394</v>
      </c>
      <c r="C354" s="26">
        <v>29518</v>
      </c>
      <c r="D354" s="27">
        <v>386490465.25999999</v>
      </c>
      <c r="E354" s="27">
        <v>356447393.25999999</v>
      </c>
      <c r="F354" s="27">
        <v>30043072</v>
      </c>
      <c r="G354" s="27">
        <f>VLOOKUP(A354,'[1]saldos al 26May26'!$C$2:$I$1010,7,FALSE)</f>
        <v>-2581261.88</v>
      </c>
      <c r="H354" s="27"/>
      <c r="I354" s="28"/>
      <c r="J354" s="29"/>
      <c r="K354" s="25" t="s">
        <v>29</v>
      </c>
      <c r="L354" s="25" t="s">
        <v>30</v>
      </c>
      <c r="M354" s="25" t="s">
        <v>55</v>
      </c>
      <c r="N354" s="25"/>
      <c r="O354" t="s">
        <v>51</v>
      </c>
      <c r="P354" s="32">
        <v>-183976.47</v>
      </c>
      <c r="Q354" s="30">
        <v>0</v>
      </c>
      <c r="R354" s="30">
        <v>548082.05000000005</v>
      </c>
      <c r="S354" s="30" t="s">
        <v>33</v>
      </c>
      <c r="T354" t="s">
        <v>33</v>
      </c>
      <c r="U354" s="31">
        <v>0</v>
      </c>
      <c r="V354" t="s">
        <v>42</v>
      </c>
      <c r="Y354" t="e">
        <f>VLOOKUP(A354,[2]!PRGX[[#All],[Proveedor]],1,FALSE)</f>
        <v>#REF!</v>
      </c>
    </row>
    <row r="355" spans="1:26" x14ac:dyDescent="0.25">
      <c r="A355" s="25">
        <v>13860</v>
      </c>
      <c r="B355" s="25" t="s">
        <v>395</v>
      </c>
      <c r="C355" s="26">
        <v>5267</v>
      </c>
      <c r="D355" s="27">
        <v>384984232.26999998</v>
      </c>
      <c r="E355" s="27">
        <v>328783237.00999999</v>
      </c>
      <c r="F355" s="27">
        <v>56200995.259999998</v>
      </c>
      <c r="G355" s="27">
        <f>VLOOKUP(A355,'[1]saldos al 26May26'!$C$2:$I$1010,7,FALSE)</f>
        <v>-283276.92</v>
      </c>
      <c r="H355" s="27"/>
      <c r="I355" s="28"/>
      <c r="J355" s="29"/>
      <c r="K355" s="25" t="s">
        <v>29</v>
      </c>
      <c r="L355" s="25" t="s">
        <v>30</v>
      </c>
      <c r="M355" s="25" t="s">
        <v>50</v>
      </c>
      <c r="N355" s="25"/>
      <c r="O355" t="s">
        <v>67</v>
      </c>
      <c r="P355" s="32">
        <v>-17942964.830000002</v>
      </c>
      <c r="Q355" s="30">
        <v>0</v>
      </c>
      <c r="R355" s="30">
        <v>165984.72</v>
      </c>
      <c r="S355" s="30" t="s">
        <v>63</v>
      </c>
      <c r="T355" t="s">
        <v>33</v>
      </c>
      <c r="U355" s="31">
        <v>0</v>
      </c>
      <c r="V355" t="s">
        <v>42</v>
      </c>
      <c r="Y355" t="e">
        <f>VLOOKUP(A355,[2]!PRGX[[#All],[Proveedor]],1,FALSE)</f>
        <v>#REF!</v>
      </c>
    </row>
    <row r="356" spans="1:26" x14ac:dyDescent="0.25">
      <c r="A356" s="25">
        <v>390716</v>
      </c>
      <c r="B356" s="25" t="s">
        <v>396</v>
      </c>
      <c r="C356" s="26">
        <v>43579</v>
      </c>
      <c r="D356" s="27">
        <v>250520988.18000001</v>
      </c>
      <c r="E356" s="27">
        <v>237444680.99000001</v>
      </c>
      <c r="F356" s="27">
        <v>13076307.189999999</v>
      </c>
      <c r="G356" s="27">
        <f>VLOOKUP(A356,'[1]saldos al 26May26'!$C$2:$I$1010,7,FALSE)</f>
        <v>-1105590.01</v>
      </c>
      <c r="H356" s="27"/>
      <c r="I356" s="28"/>
      <c r="J356" s="29">
        <v>139374.13894484349</v>
      </c>
      <c r="K356" s="25" t="s">
        <v>40</v>
      </c>
      <c r="L356" s="25" t="s">
        <v>30</v>
      </c>
      <c r="M356" s="25" t="s">
        <v>31</v>
      </c>
      <c r="N356" s="25" t="s">
        <v>56</v>
      </c>
      <c r="O356" t="s">
        <v>56</v>
      </c>
      <c r="P356" s="30">
        <v>0</v>
      </c>
      <c r="Q356" s="30">
        <v>71362.399999999994</v>
      </c>
      <c r="R356" s="30"/>
      <c r="S356" s="30" t="e">
        <v>#N/A</v>
      </c>
      <c r="T356" t="s">
        <v>34</v>
      </c>
      <c r="U356" s="31">
        <v>0</v>
      </c>
      <c r="V356" t="s">
        <v>42</v>
      </c>
      <c r="Y356" t="e">
        <f>VLOOKUP(A356,[2]!PRGX[[#All],[Proveedor]],1,FALSE)</f>
        <v>#REF!</v>
      </c>
    </row>
    <row r="357" spans="1:26" x14ac:dyDescent="0.25">
      <c r="A357" s="25">
        <v>335</v>
      </c>
      <c r="B357" s="25" t="s">
        <v>397</v>
      </c>
      <c r="C357" s="26">
        <v>21789</v>
      </c>
      <c r="D357" s="27">
        <v>379995041.75999999</v>
      </c>
      <c r="E357" s="27">
        <v>320930781.73000002</v>
      </c>
      <c r="F357" s="27">
        <v>59064260.030000001</v>
      </c>
      <c r="G357" s="27">
        <f>VLOOKUP(A357,'[1]saldos al 26May26'!$C$2:$I$1010,7,FALSE)</f>
        <v>-12405518.890000001</v>
      </c>
      <c r="H357" s="27"/>
      <c r="I357" s="28"/>
      <c r="J357" s="29">
        <v>1074685.9840119095</v>
      </c>
      <c r="K357" s="25" t="s">
        <v>40</v>
      </c>
      <c r="L357" s="25" t="s">
        <v>30</v>
      </c>
      <c r="M357" s="25" t="s">
        <v>61</v>
      </c>
      <c r="N357" s="25" t="s">
        <v>38</v>
      </c>
      <c r="O357" t="s">
        <v>38</v>
      </c>
      <c r="P357" s="30">
        <v>439055.69999999995</v>
      </c>
      <c r="Q357" s="30">
        <v>1410674.0299999998</v>
      </c>
      <c r="R357" s="30"/>
      <c r="S357" s="30" t="s">
        <v>63</v>
      </c>
      <c r="T357" t="s">
        <v>33</v>
      </c>
      <c r="U357" s="31" t="s">
        <v>33</v>
      </c>
      <c r="V357" t="s">
        <v>33</v>
      </c>
      <c r="Y357" t="e">
        <f>VLOOKUP(A357,[2]!PRGX[[#All],[Proveedor]],1,FALSE)</f>
        <v>#REF!</v>
      </c>
    </row>
    <row r="358" spans="1:26" x14ac:dyDescent="0.25">
      <c r="A358" s="25">
        <v>6348</v>
      </c>
      <c r="B358" s="25" t="s">
        <v>398</v>
      </c>
      <c r="C358" s="26">
        <v>17012</v>
      </c>
      <c r="D358" s="27">
        <v>379091216.44999999</v>
      </c>
      <c r="E358" s="27">
        <v>340326707.03999996</v>
      </c>
      <c r="F358" s="27">
        <v>38764509.409999996</v>
      </c>
      <c r="G358" s="27">
        <f>VLOOKUP(A358,'[1]saldos al 26May26'!$C$2:$I$1010,7,FALSE)</f>
        <v>-1164211.3400000001</v>
      </c>
      <c r="H358" s="27"/>
      <c r="I358" s="28"/>
      <c r="J358" s="29">
        <v>1187863.584235871</v>
      </c>
      <c r="K358" s="25" t="s">
        <v>40</v>
      </c>
      <c r="L358" s="25" t="s">
        <v>30</v>
      </c>
      <c r="M358" s="25" t="s">
        <v>59</v>
      </c>
      <c r="N358" s="25" t="s">
        <v>41</v>
      </c>
      <c r="O358" t="s">
        <v>41</v>
      </c>
      <c r="P358" s="32">
        <v>-5022.51</v>
      </c>
      <c r="Q358" s="30">
        <v>0</v>
      </c>
      <c r="R358" s="30">
        <v>1262920</v>
      </c>
      <c r="S358" s="30" t="s">
        <v>63</v>
      </c>
      <c r="T358" t="s">
        <v>33</v>
      </c>
      <c r="U358" s="31" t="s">
        <v>33</v>
      </c>
      <c r="V358" t="s">
        <v>33</v>
      </c>
      <c r="Y358" t="e">
        <f>VLOOKUP(A358,[2]!PRGX[[#All],[Proveedor]],1,FALSE)</f>
        <v>#REF!</v>
      </c>
    </row>
    <row r="359" spans="1:26" x14ac:dyDescent="0.25">
      <c r="A359" s="25">
        <v>17081</v>
      </c>
      <c r="B359" s="25" t="s">
        <v>399</v>
      </c>
      <c r="C359" s="26">
        <v>72174</v>
      </c>
      <c r="D359" s="27">
        <v>373326805.94050002</v>
      </c>
      <c r="E359" s="27">
        <v>313254729.56099999</v>
      </c>
      <c r="F359" s="27">
        <v>60072076.379500002</v>
      </c>
      <c r="G359" s="27">
        <f>VLOOKUP(A359,'[1]saldos al 26May26'!$C$2:$I$1010,7,FALSE)</f>
        <v>-2339302.41</v>
      </c>
      <c r="H359" s="27"/>
      <c r="I359" s="28"/>
      <c r="J359" s="29"/>
      <c r="K359" s="25" t="s">
        <v>40</v>
      </c>
      <c r="L359" s="25" t="s">
        <v>30</v>
      </c>
      <c r="M359" s="25" t="s">
        <v>55</v>
      </c>
      <c r="N359" s="25" t="s">
        <v>87</v>
      </c>
      <c r="O359" t="s">
        <v>87</v>
      </c>
      <c r="P359" s="32">
        <v>-2516395.67</v>
      </c>
      <c r="Q359" s="30">
        <v>940365.22</v>
      </c>
      <c r="R359" s="30"/>
      <c r="S359" s="30">
        <v>0</v>
      </c>
      <c r="T359" t="s">
        <v>42</v>
      </c>
      <c r="U359" s="31" t="e">
        <v>#N/A</v>
      </c>
      <c r="V359" t="s">
        <v>34</v>
      </c>
      <c r="Y359" t="e">
        <f>VLOOKUP(A359,[2]!PRGX[[#All],[Proveedor]],1,FALSE)</f>
        <v>#REF!</v>
      </c>
    </row>
    <row r="360" spans="1:26" x14ac:dyDescent="0.25">
      <c r="A360" s="25">
        <v>14535</v>
      </c>
      <c r="B360" s="25" t="s">
        <v>400</v>
      </c>
      <c r="C360" s="26">
        <v>5369</v>
      </c>
      <c r="D360" s="27">
        <v>372174586.68000001</v>
      </c>
      <c r="E360" s="27">
        <v>316364918.76999998</v>
      </c>
      <c r="F360" s="27">
        <v>55809667.909999996</v>
      </c>
      <c r="G360" s="27">
        <f>VLOOKUP(A360,'[1]saldos al 26May26'!$C$2:$I$1010,7,FALSE)</f>
        <v>-15090461.01</v>
      </c>
      <c r="H360" s="27"/>
      <c r="I360" s="28"/>
      <c r="J360" s="29"/>
      <c r="K360" s="25" t="s">
        <v>29</v>
      </c>
      <c r="L360" s="25" t="s">
        <v>30</v>
      </c>
      <c r="M360" s="25" t="s">
        <v>55</v>
      </c>
      <c r="N360" s="25"/>
      <c r="O360" t="s">
        <v>80</v>
      </c>
      <c r="P360" s="30">
        <v>77941.279999999999</v>
      </c>
      <c r="Q360" s="30">
        <v>3538.56</v>
      </c>
      <c r="R360" s="30"/>
      <c r="S360" s="30" t="s">
        <v>63</v>
      </c>
      <c r="T360" t="s">
        <v>33</v>
      </c>
      <c r="U360" s="31">
        <v>0</v>
      </c>
      <c r="V360" t="s">
        <v>42</v>
      </c>
      <c r="Y360" t="e">
        <f>VLOOKUP(A360,[2]!PRGX[[#All],[Proveedor]],1,FALSE)</f>
        <v>#REF!</v>
      </c>
    </row>
    <row r="361" spans="1:26" x14ac:dyDescent="0.25">
      <c r="A361" s="25">
        <v>301168</v>
      </c>
      <c r="B361" s="25" t="s">
        <v>401</v>
      </c>
      <c r="C361" s="26">
        <v>3070</v>
      </c>
      <c r="D361" s="27">
        <v>371176204.14749998</v>
      </c>
      <c r="E361" s="27">
        <v>307273276.94400001</v>
      </c>
      <c r="F361" s="27">
        <v>63902927.203500003</v>
      </c>
      <c r="G361" s="27">
        <f>VLOOKUP(A361,'[1]saldos al 26May26'!$C$2:$I$1010,7,FALSE)</f>
        <v>-7231755.04</v>
      </c>
      <c r="H361" s="27"/>
      <c r="I361" s="28" t="s">
        <v>27</v>
      </c>
      <c r="J361" s="29"/>
      <c r="K361" s="25" t="s">
        <v>29</v>
      </c>
      <c r="L361" s="25" t="s">
        <v>30</v>
      </c>
      <c r="M361" s="25" t="s">
        <v>55</v>
      </c>
      <c r="N361" s="25"/>
      <c r="O361" t="s">
        <v>80</v>
      </c>
      <c r="P361" s="32">
        <v>-1545300.25</v>
      </c>
      <c r="Q361" s="30">
        <v>0</v>
      </c>
      <c r="R361" s="30">
        <v>200000</v>
      </c>
      <c r="S361" s="30" t="s">
        <v>33</v>
      </c>
      <c r="T361" t="s">
        <v>33</v>
      </c>
      <c r="U361" s="31" t="e">
        <v>#N/A</v>
      </c>
      <c r="V361" t="s">
        <v>34</v>
      </c>
      <c r="Y361" t="e">
        <f>VLOOKUP(A361,[2]!PRGX[[#All],[Proveedor]],1,FALSE)</f>
        <v>#REF!</v>
      </c>
      <c r="Z361">
        <v>301168</v>
      </c>
    </row>
    <row r="362" spans="1:26" x14ac:dyDescent="0.25">
      <c r="A362" s="25">
        <v>28811</v>
      </c>
      <c r="B362" s="25" t="s">
        <v>402</v>
      </c>
      <c r="C362" s="26">
        <v>44923</v>
      </c>
      <c r="D362" s="27">
        <v>370372781.17000002</v>
      </c>
      <c r="E362" s="27">
        <v>312979716.49000001</v>
      </c>
      <c r="F362" s="27">
        <v>57393064.68</v>
      </c>
      <c r="G362" s="27">
        <f>VLOOKUP(A362,'[1]saldos al 26May26'!$C$2:$I$1010,7,FALSE)</f>
        <v>-18728418.91</v>
      </c>
      <c r="H362" s="27"/>
      <c r="I362" s="28"/>
      <c r="J362" s="29"/>
      <c r="K362" s="25" t="s">
        <v>29</v>
      </c>
      <c r="L362" s="25" t="s">
        <v>30</v>
      </c>
      <c r="M362" s="25" t="s">
        <v>61</v>
      </c>
      <c r="N362" s="25"/>
      <c r="O362" t="s">
        <v>41</v>
      </c>
      <c r="P362" s="32">
        <v>-1802961.6300000001</v>
      </c>
      <c r="Q362" s="30">
        <v>618779.64</v>
      </c>
      <c r="R362" s="30"/>
      <c r="S362" s="30" t="s">
        <v>33</v>
      </c>
      <c r="T362" t="s">
        <v>33</v>
      </c>
      <c r="U362" s="31" t="s">
        <v>33</v>
      </c>
      <c r="V362" t="s">
        <v>33</v>
      </c>
      <c r="Y362" t="e">
        <f>VLOOKUP(A362,[2]!PRGX[[#All],[Proveedor]],1,FALSE)</f>
        <v>#REF!</v>
      </c>
    </row>
    <row r="363" spans="1:26" x14ac:dyDescent="0.25">
      <c r="A363" s="25">
        <v>314195</v>
      </c>
      <c r="B363" s="25" t="s">
        <v>403</v>
      </c>
      <c r="C363" s="26">
        <v>192558</v>
      </c>
      <c r="D363" s="27">
        <v>368548392.639</v>
      </c>
      <c r="E363" s="27">
        <v>284873735.01999998</v>
      </c>
      <c r="F363" s="27">
        <v>83674657.619000003</v>
      </c>
      <c r="G363" s="27">
        <f>VLOOKUP(A363,'[1]saldos al 26May26'!$C$2:$I$1010,7,FALSE)</f>
        <v>-7066650.1500000004</v>
      </c>
      <c r="H363" s="27"/>
      <c r="I363" s="28"/>
      <c r="J363" s="29"/>
      <c r="K363" s="25" t="s">
        <v>40</v>
      </c>
      <c r="L363" s="25" t="s">
        <v>30</v>
      </c>
      <c r="M363" s="25" t="s">
        <v>55</v>
      </c>
      <c r="N363" s="25" t="s">
        <v>36</v>
      </c>
      <c r="O363" t="s">
        <v>36</v>
      </c>
      <c r="P363" s="32">
        <v>-1027929.54</v>
      </c>
      <c r="Q363" s="30">
        <v>86761.7</v>
      </c>
      <c r="R363" s="30"/>
      <c r="S363" s="30" t="e">
        <v>#N/A</v>
      </c>
      <c r="T363" t="s">
        <v>34</v>
      </c>
      <c r="U363" s="31" t="e">
        <v>#N/A</v>
      </c>
      <c r="V363" t="s">
        <v>34</v>
      </c>
      <c r="Y363" t="e">
        <f>VLOOKUP(A363,[2]!PRGX[[#All],[Proveedor]],1,FALSE)</f>
        <v>#REF!</v>
      </c>
    </row>
    <row r="364" spans="1:26" x14ac:dyDescent="0.25">
      <c r="A364" s="25">
        <v>37481</v>
      </c>
      <c r="B364" s="25" t="s">
        <v>404</v>
      </c>
      <c r="C364" s="26">
        <v>59355</v>
      </c>
      <c r="D364" s="27">
        <v>365248949.07999998</v>
      </c>
      <c r="E364" s="27">
        <v>292399232.67999995</v>
      </c>
      <c r="F364" s="27">
        <v>72849716.400000006</v>
      </c>
      <c r="G364" s="27">
        <f>VLOOKUP(A364,'[1]saldos al 26May26'!$C$2:$I$1010,7,FALSE)</f>
        <v>-16592407.08</v>
      </c>
      <c r="H364" s="27"/>
      <c r="I364" s="28"/>
      <c r="J364" s="29"/>
      <c r="K364" s="25" t="s">
        <v>29</v>
      </c>
      <c r="L364" s="25" t="s">
        <v>30</v>
      </c>
      <c r="M364" s="25" t="s">
        <v>50</v>
      </c>
      <c r="N364" s="25"/>
      <c r="O364" t="s">
        <v>51</v>
      </c>
      <c r="P364" s="32">
        <v>-915584.04</v>
      </c>
      <c r="Q364" s="30">
        <v>37591.519999999997</v>
      </c>
      <c r="R364" s="30"/>
      <c r="S364" s="30" t="s">
        <v>63</v>
      </c>
      <c r="T364" t="s">
        <v>33</v>
      </c>
      <c r="U364" s="31">
        <v>0</v>
      </c>
      <c r="V364" t="s">
        <v>42</v>
      </c>
      <c r="Y364" t="e">
        <f>VLOOKUP(A364,[2]!PRGX[[#All],[Proveedor]],1,FALSE)</f>
        <v>#REF!</v>
      </c>
    </row>
    <row r="365" spans="1:26" x14ac:dyDescent="0.25">
      <c r="A365" s="25">
        <v>387183</v>
      </c>
      <c r="B365" s="25" t="s">
        <v>405</v>
      </c>
      <c r="C365" s="26">
        <v>97414</v>
      </c>
      <c r="D365" s="27">
        <v>364715468.29000002</v>
      </c>
      <c r="E365" s="27">
        <v>315819190.10000002</v>
      </c>
      <c r="F365" s="27">
        <v>48896278.189999998</v>
      </c>
      <c r="G365" s="27">
        <f>VLOOKUP(A365,'[1]saldos al 26May26'!$C$2:$I$1010,7,FALSE)</f>
        <v>-2799331.25</v>
      </c>
      <c r="H365" s="27"/>
      <c r="I365" s="28"/>
      <c r="J365" s="29"/>
      <c r="K365" s="25" t="s">
        <v>29</v>
      </c>
      <c r="L365" s="25" t="s">
        <v>30</v>
      </c>
      <c r="M365" s="25" t="s">
        <v>50</v>
      </c>
      <c r="N365" s="25"/>
      <c r="O365" t="s">
        <v>67</v>
      </c>
      <c r="P365" s="32">
        <v>-759654.1399999999</v>
      </c>
      <c r="Q365" s="30">
        <v>0</v>
      </c>
      <c r="R365" s="30">
        <v>17543.75</v>
      </c>
      <c r="S365" s="30" t="s">
        <v>63</v>
      </c>
      <c r="T365" t="s">
        <v>33</v>
      </c>
      <c r="U365" s="31">
        <v>0</v>
      </c>
      <c r="V365" t="s">
        <v>42</v>
      </c>
      <c r="Y365" t="e">
        <f>VLOOKUP(A365,[2]!PRGX[[#All],[Proveedor]],1,FALSE)</f>
        <v>#REF!</v>
      </c>
    </row>
    <row r="366" spans="1:26" x14ac:dyDescent="0.25">
      <c r="A366" s="25">
        <v>23842</v>
      </c>
      <c r="B366" s="25" t="s">
        <v>406</v>
      </c>
      <c r="C366" s="26">
        <v>2921</v>
      </c>
      <c r="D366" s="27">
        <v>364270545</v>
      </c>
      <c r="E366" s="27">
        <v>240394050</v>
      </c>
      <c r="F366" s="27">
        <v>123876495</v>
      </c>
      <c r="G366" s="27">
        <f>VLOOKUP(A366,'[1]saldos al 26May26'!$C$2:$I$1010,7,FALSE)</f>
        <v>-16856344.649999999</v>
      </c>
      <c r="H366" s="27"/>
      <c r="I366" s="28"/>
      <c r="J366" s="29"/>
      <c r="K366" s="25" t="s">
        <v>29</v>
      </c>
      <c r="L366" s="25" t="s">
        <v>30</v>
      </c>
      <c r="M366" s="25" t="s">
        <v>59</v>
      </c>
      <c r="N366" s="25"/>
      <c r="O366" t="s">
        <v>80</v>
      </c>
      <c r="P366" s="32">
        <v>-1073670.48</v>
      </c>
      <c r="Q366" s="30">
        <v>0</v>
      </c>
      <c r="R366" s="30"/>
      <c r="S366" s="30" t="s">
        <v>33</v>
      </c>
      <c r="T366" t="s">
        <v>33</v>
      </c>
      <c r="U366" s="31" t="s">
        <v>33</v>
      </c>
      <c r="V366" t="s">
        <v>33</v>
      </c>
      <c r="Y366" t="e">
        <f>VLOOKUP(A366,[2]!PRGX[[#All],[Proveedor]],1,FALSE)</f>
        <v>#REF!</v>
      </c>
    </row>
    <row r="367" spans="1:26" x14ac:dyDescent="0.25">
      <c r="A367" s="25">
        <v>303681</v>
      </c>
      <c r="B367" s="25" t="s">
        <v>407</v>
      </c>
      <c r="C367" s="26">
        <v>1862590</v>
      </c>
      <c r="D367" s="27">
        <v>357332477.79699999</v>
      </c>
      <c r="E367" s="27">
        <v>332080941.227</v>
      </c>
      <c r="F367" s="27">
        <v>25251536.57</v>
      </c>
      <c r="G367" s="27">
        <f>VLOOKUP(A367,'[1]saldos al 26May26'!$C$2:$I$1010,7,FALSE)</f>
        <v>-1005841.27</v>
      </c>
      <c r="H367" s="27"/>
      <c r="I367" s="28"/>
      <c r="J367" s="29"/>
      <c r="K367" s="25" t="s">
        <v>29</v>
      </c>
      <c r="L367" s="25" t="s">
        <v>30</v>
      </c>
      <c r="M367" s="25" t="s">
        <v>59</v>
      </c>
      <c r="N367" s="25"/>
      <c r="O367" s="43" t="s">
        <v>41</v>
      </c>
      <c r="P367" s="32">
        <v>-4295616.72</v>
      </c>
      <c r="Q367" s="30">
        <v>-211258.28</v>
      </c>
      <c r="R367" s="30"/>
      <c r="S367" s="30" t="s">
        <v>33</v>
      </c>
      <c r="T367" t="s">
        <v>33</v>
      </c>
      <c r="U367" s="31" t="e">
        <v>#N/A</v>
      </c>
      <c r="V367" t="s">
        <v>34</v>
      </c>
      <c r="Y367" t="e">
        <f>VLOOKUP(A367,[2]!PRGX[[#All],[Proveedor]],1,FALSE)</f>
        <v>#REF!</v>
      </c>
    </row>
    <row r="368" spans="1:26" x14ac:dyDescent="0.25">
      <c r="A368" s="36">
        <v>22914</v>
      </c>
      <c r="B368" s="36" t="s">
        <v>408</v>
      </c>
      <c r="C368" s="37">
        <v>756</v>
      </c>
      <c r="D368" s="38">
        <v>357299033.86680001</v>
      </c>
      <c r="E368" s="38">
        <v>297317382.87340003</v>
      </c>
      <c r="F368" s="38">
        <v>59981650.9934</v>
      </c>
      <c r="G368" s="38">
        <f>VLOOKUP(A368,'[1]saldos al 26May26'!$C$2:$I$1010,7,FALSE)</f>
        <v>0</v>
      </c>
      <c r="H368" s="39" t="s">
        <v>54</v>
      </c>
      <c r="I368" s="40"/>
      <c r="J368" s="41"/>
      <c r="K368" s="36" t="s">
        <v>29</v>
      </c>
      <c r="L368" s="36" t="s">
        <v>30</v>
      </c>
      <c r="M368" s="36" t="s">
        <v>55</v>
      </c>
      <c r="N368" s="25"/>
      <c r="O368" s="42" t="s">
        <v>70</v>
      </c>
      <c r="P368" s="32">
        <v>-16448919.199999999</v>
      </c>
      <c r="Q368" s="30">
        <v>0</v>
      </c>
      <c r="R368" s="30"/>
      <c r="S368" s="30" t="s">
        <v>33</v>
      </c>
      <c r="T368" t="s">
        <v>33</v>
      </c>
      <c r="U368" s="31" t="e">
        <v>#N/A</v>
      </c>
      <c r="V368" t="s">
        <v>34</v>
      </c>
      <c r="Y368" t="e">
        <f>VLOOKUP(A368,[2]!PRGX[[#All],[Proveedor]],1,FALSE)</f>
        <v>#REF!</v>
      </c>
    </row>
    <row r="369" spans="1:25" x14ac:dyDescent="0.25">
      <c r="A369" s="25">
        <v>349019</v>
      </c>
      <c r="B369" s="25" t="s">
        <v>409</v>
      </c>
      <c r="C369" s="26">
        <v>3290</v>
      </c>
      <c r="D369" s="27">
        <v>51796001</v>
      </c>
      <c r="E369" s="27">
        <v>36922074</v>
      </c>
      <c r="F369" s="27">
        <v>14873927</v>
      </c>
      <c r="G369" s="27">
        <f>VLOOKUP(A369,'[1]saldos al 26May26'!$C$2:$I$1010,7,FALSE)</f>
        <v>-1713561.4</v>
      </c>
      <c r="H369" s="27"/>
      <c r="I369" s="28"/>
      <c r="J369" s="29">
        <v>129263.894361243</v>
      </c>
      <c r="K369" s="25" t="s">
        <v>40</v>
      </c>
      <c r="L369" s="25" t="s">
        <v>30</v>
      </c>
      <c r="M369" s="25" t="s">
        <v>31</v>
      </c>
      <c r="N369" s="25" t="s">
        <v>56</v>
      </c>
      <c r="O369" t="s">
        <v>56</v>
      </c>
      <c r="P369" s="32">
        <v>-314662.2</v>
      </c>
      <c r="Q369" s="30">
        <v>0</v>
      </c>
      <c r="R369" s="30"/>
      <c r="S369" s="30" t="e">
        <v>#N/A</v>
      </c>
      <c r="T369" t="s">
        <v>34</v>
      </c>
      <c r="U369" s="31">
        <v>0</v>
      </c>
      <c r="V369" t="s">
        <v>42</v>
      </c>
      <c r="Y369" t="e">
        <f>VLOOKUP(A369,[2]!PRGX[[#All],[Proveedor]],1,FALSE)</f>
        <v>#REF!</v>
      </c>
    </row>
    <row r="370" spans="1:25" x14ac:dyDescent="0.25">
      <c r="A370" s="25">
        <v>99861</v>
      </c>
      <c r="B370" s="25" t="s">
        <v>410</v>
      </c>
      <c r="C370" s="49">
        <v>15276</v>
      </c>
      <c r="D370" s="50">
        <v>352398356.26999998</v>
      </c>
      <c r="E370" s="54">
        <v>266961018.63</v>
      </c>
      <c r="F370" s="54">
        <v>85437337.640000001</v>
      </c>
      <c r="G370" s="50">
        <f>VLOOKUP(A370,'[1]saldos al 26May26'!$C$2:$I$1010,7,FALSE)</f>
        <v>-15096752.140000001</v>
      </c>
      <c r="H370" s="50"/>
      <c r="I370" s="28"/>
      <c r="J370" s="51">
        <v>416854.91454840399</v>
      </c>
      <c r="K370" s="25" t="s">
        <v>40</v>
      </c>
      <c r="L370" s="25" t="s">
        <v>30</v>
      </c>
      <c r="M370" s="25" t="s">
        <v>61</v>
      </c>
      <c r="N370" s="25" t="s">
        <v>47</v>
      </c>
      <c r="O370" t="s">
        <v>47</v>
      </c>
      <c r="P370" s="61">
        <v>10101244.080000002</v>
      </c>
      <c r="Q370" s="61">
        <v>324647.17</v>
      </c>
      <c r="R370" s="30">
        <v>403841.89</v>
      </c>
      <c r="S370" s="30" t="s">
        <v>63</v>
      </c>
      <c r="T370" t="s">
        <v>33</v>
      </c>
      <c r="U370" s="31">
        <v>0</v>
      </c>
      <c r="V370" t="s">
        <v>33</v>
      </c>
      <c r="Y370" t="e">
        <f>VLOOKUP(A370,[2]!PRGX[[#All],[Proveedor]],1,FALSE)</f>
        <v>#REF!</v>
      </c>
    </row>
    <row r="371" spans="1:25" x14ac:dyDescent="0.25">
      <c r="A371" s="25">
        <v>22606</v>
      </c>
      <c r="B371" s="25" t="s">
        <v>411</v>
      </c>
      <c r="C371" s="26">
        <v>6580</v>
      </c>
      <c r="D371" s="27">
        <v>351923986.24159998</v>
      </c>
      <c r="E371" s="27">
        <v>342974843.24159998</v>
      </c>
      <c r="F371" s="27">
        <v>8949143</v>
      </c>
      <c r="G371" s="27">
        <f>VLOOKUP(A371,'[1]saldos al 26May26'!$C$2:$I$1010,7,FALSE)</f>
        <v>-636803.80000000005</v>
      </c>
      <c r="H371" s="27"/>
      <c r="I371" s="28"/>
      <c r="J371" s="29"/>
      <c r="K371" s="25" t="s">
        <v>29</v>
      </c>
      <c r="L371" s="25" t="s">
        <v>30</v>
      </c>
      <c r="M371" s="25" t="s">
        <v>59</v>
      </c>
      <c r="N371" s="25"/>
      <c r="O371" t="s">
        <v>70</v>
      </c>
      <c r="P371" s="30">
        <v>11602268.74</v>
      </c>
      <c r="Q371" s="30">
        <v>2389781</v>
      </c>
      <c r="R371" s="30"/>
      <c r="S371" s="30" t="s">
        <v>33</v>
      </c>
      <c r="T371" t="s">
        <v>33</v>
      </c>
      <c r="U371" s="31" t="s">
        <v>33</v>
      </c>
      <c r="V371" t="s">
        <v>33</v>
      </c>
      <c r="Y371" t="e">
        <f>VLOOKUP(A371,[2]!PRGX[[#All],[Proveedor]],1,FALSE)</f>
        <v>#REF!</v>
      </c>
    </row>
    <row r="372" spans="1:25" x14ac:dyDescent="0.25">
      <c r="A372" s="25">
        <v>32953</v>
      </c>
      <c r="B372" s="25" t="s">
        <v>412</v>
      </c>
      <c r="C372" s="26">
        <v>66945</v>
      </c>
      <c r="D372" s="27">
        <v>347517404.75</v>
      </c>
      <c r="E372" s="27">
        <v>290918476.34000003</v>
      </c>
      <c r="F372" s="27">
        <v>56598928.409999996</v>
      </c>
      <c r="G372" s="27">
        <f>VLOOKUP(A372,'[1]saldos al 26May26'!$C$2:$I$1010,7,FALSE)</f>
        <v>-11435059.32</v>
      </c>
      <c r="H372" s="27"/>
      <c r="I372" s="28"/>
      <c r="J372" s="29"/>
      <c r="K372" s="25" t="s">
        <v>29</v>
      </c>
      <c r="L372" s="25" t="s">
        <v>30</v>
      </c>
      <c r="M372" s="25" t="s">
        <v>50</v>
      </c>
      <c r="N372" s="25"/>
      <c r="O372" t="s">
        <v>47</v>
      </c>
      <c r="P372" s="32">
        <v>-8425264.8599999994</v>
      </c>
      <c r="Q372" s="30">
        <v>-97131.09</v>
      </c>
      <c r="R372" s="30"/>
      <c r="S372" s="30" t="s">
        <v>63</v>
      </c>
      <c r="T372" t="s">
        <v>33</v>
      </c>
      <c r="U372" s="31">
        <v>0</v>
      </c>
      <c r="V372" t="s">
        <v>42</v>
      </c>
      <c r="Y372" t="e">
        <f>VLOOKUP(A372,[2]!PRGX[[#All],[Proveedor]],1,FALSE)</f>
        <v>#REF!</v>
      </c>
    </row>
    <row r="373" spans="1:25" x14ac:dyDescent="0.25">
      <c r="A373" s="25">
        <v>303895</v>
      </c>
      <c r="B373" s="25" t="s">
        <v>220</v>
      </c>
      <c r="C373" s="26">
        <v>13431</v>
      </c>
      <c r="D373" s="27">
        <v>347461545.69999999</v>
      </c>
      <c r="E373" s="27">
        <v>287415131.45999998</v>
      </c>
      <c r="F373" s="27">
        <v>60046414.240000002</v>
      </c>
      <c r="G373" s="27">
        <f>VLOOKUP(A373,'[1]saldos al 26May26'!$C$2:$I$1010,7,FALSE)</f>
        <v>-1582254.12</v>
      </c>
      <c r="H373" s="27"/>
      <c r="I373" s="28"/>
      <c r="J373" s="29"/>
      <c r="K373" s="25" t="s">
        <v>29</v>
      </c>
      <c r="L373" s="25" t="s">
        <v>30</v>
      </c>
      <c r="M373" s="25" t="s">
        <v>31</v>
      </c>
      <c r="N373" s="25"/>
      <c r="O373" t="s">
        <v>51</v>
      </c>
      <c r="P373" s="30">
        <v>3727869.73</v>
      </c>
      <c r="Q373" s="30">
        <v>24008.32</v>
      </c>
      <c r="R373" s="30"/>
      <c r="S373" s="30" t="s">
        <v>33</v>
      </c>
      <c r="T373" t="s">
        <v>33</v>
      </c>
      <c r="U373" s="31" t="e">
        <v>#N/A</v>
      </c>
      <c r="V373" t="s">
        <v>34</v>
      </c>
      <c r="Y373" t="e">
        <f>VLOOKUP(A373,[2]!PRGX[[#All],[Proveedor]],1,FALSE)</f>
        <v>#REF!</v>
      </c>
    </row>
    <row r="374" spans="1:25" x14ac:dyDescent="0.25">
      <c r="A374" s="25">
        <v>60954</v>
      </c>
      <c r="B374" s="25" t="s">
        <v>413</v>
      </c>
      <c r="C374" s="26">
        <v>10895</v>
      </c>
      <c r="D374" s="27">
        <v>89801550.452700004</v>
      </c>
      <c r="E374" s="27">
        <v>63086988.052700005</v>
      </c>
      <c r="F374" s="27">
        <v>26714562.399999999</v>
      </c>
      <c r="G374" s="27">
        <f>VLOOKUP(A374,'[1]saldos al 26May26'!$C$2:$I$1010,7,FALSE)</f>
        <v>-919054.08</v>
      </c>
      <c r="H374" s="27"/>
      <c r="I374" s="28"/>
      <c r="J374" s="29">
        <v>122944.39083321897</v>
      </c>
      <c r="K374" s="25" t="s">
        <v>40</v>
      </c>
      <c r="L374" s="25" t="s">
        <v>30</v>
      </c>
      <c r="M374" s="25" t="s">
        <v>31</v>
      </c>
      <c r="N374" s="25" t="s">
        <v>56</v>
      </c>
      <c r="O374" t="s">
        <v>56</v>
      </c>
      <c r="P374" s="32">
        <v>-213548.47999999998</v>
      </c>
      <c r="Q374" s="30">
        <v>0</v>
      </c>
      <c r="R374" s="30"/>
      <c r="S374" s="30" t="e">
        <v>#N/A</v>
      </c>
      <c r="T374" t="s">
        <v>34</v>
      </c>
      <c r="U374" s="31" t="e">
        <v>#N/A</v>
      </c>
      <c r="V374" t="s">
        <v>34</v>
      </c>
      <c r="Y374" t="e">
        <f>VLOOKUP(A374,[2]!PRGX[[#All],[Proveedor]],1,FALSE)</f>
        <v>#REF!</v>
      </c>
    </row>
    <row r="375" spans="1:25" x14ac:dyDescent="0.25">
      <c r="A375" s="25">
        <v>34280</v>
      </c>
      <c r="B375" s="25" t="s">
        <v>414</v>
      </c>
      <c r="C375" s="26">
        <v>26690</v>
      </c>
      <c r="D375" s="27">
        <v>343118760.86000001</v>
      </c>
      <c r="E375" s="27">
        <v>315979090.10000002</v>
      </c>
      <c r="F375" s="27">
        <v>27139670.760000002</v>
      </c>
      <c r="G375" s="27">
        <f>VLOOKUP(A375,'[1]saldos al 26May26'!$C$2:$I$1010,7,FALSE)</f>
        <v>-205909.12</v>
      </c>
      <c r="H375" s="27"/>
      <c r="I375" s="28"/>
      <c r="J375" s="29"/>
      <c r="K375" s="25" t="s">
        <v>29</v>
      </c>
      <c r="L375" s="25" t="s">
        <v>30</v>
      </c>
      <c r="M375" s="25" t="s">
        <v>55</v>
      </c>
      <c r="N375" s="25"/>
      <c r="O375" t="s">
        <v>45</v>
      </c>
      <c r="P375" s="32">
        <v>-408484.22</v>
      </c>
      <c r="Q375" s="30">
        <v>0</v>
      </c>
      <c r="R375" s="30"/>
      <c r="S375" s="30" t="s">
        <v>63</v>
      </c>
      <c r="T375" t="s">
        <v>33</v>
      </c>
      <c r="U375" s="31">
        <v>0</v>
      </c>
      <c r="V375" t="s">
        <v>42</v>
      </c>
      <c r="Y375" t="e">
        <f>VLOOKUP(A375,[2]!PRGX[[#All],[Proveedor]],1,FALSE)</f>
        <v>#REF!</v>
      </c>
    </row>
    <row r="376" spans="1:25" x14ac:dyDescent="0.25">
      <c r="A376" s="25">
        <v>306571</v>
      </c>
      <c r="B376" s="25" t="s">
        <v>415</v>
      </c>
      <c r="C376" s="26">
        <v>31176</v>
      </c>
      <c r="D376" s="27">
        <v>342701276.79100001</v>
      </c>
      <c r="E376" s="27">
        <v>267560015.16500002</v>
      </c>
      <c r="F376" s="27">
        <v>75141261.626000002</v>
      </c>
      <c r="G376" s="27">
        <f>VLOOKUP(A376,'[1]saldos al 26May26'!$C$2:$I$1010,7,FALSE)</f>
        <v>-16005269.43</v>
      </c>
      <c r="H376" s="27"/>
      <c r="I376" s="28"/>
      <c r="J376" s="29"/>
      <c r="K376" s="25" t="s">
        <v>29</v>
      </c>
      <c r="L376" s="25" t="s">
        <v>30</v>
      </c>
      <c r="M376" s="25" t="s">
        <v>50</v>
      </c>
      <c r="N376" s="25"/>
      <c r="O376" t="s">
        <v>70</v>
      </c>
      <c r="P376" s="32">
        <v>-1641936.44</v>
      </c>
      <c r="Q376" s="30">
        <v>183167.18</v>
      </c>
      <c r="R376" s="30"/>
      <c r="S376" s="30" t="s">
        <v>63</v>
      </c>
      <c r="T376" t="s">
        <v>33</v>
      </c>
      <c r="U376" s="31">
        <v>0</v>
      </c>
      <c r="V376" t="s">
        <v>42</v>
      </c>
      <c r="Y376" t="e">
        <f>VLOOKUP(A376,[2]!PRGX[[#All],[Proveedor]],1,FALSE)</f>
        <v>#REF!</v>
      </c>
    </row>
    <row r="377" spans="1:25" x14ac:dyDescent="0.25">
      <c r="A377" s="25">
        <v>303254</v>
      </c>
      <c r="B377" s="25" t="s">
        <v>416</v>
      </c>
      <c r="C377" s="26">
        <v>18093</v>
      </c>
      <c r="D377" s="27">
        <v>341423842.18000001</v>
      </c>
      <c r="E377" s="27">
        <v>292499572.89999998</v>
      </c>
      <c r="F377" s="27">
        <v>48924269.280000001</v>
      </c>
      <c r="G377" s="27">
        <f>VLOOKUP(A377,'[1]saldos al 26May26'!$C$2:$I$1010,7,FALSE)</f>
        <v>-855880.39</v>
      </c>
      <c r="H377" s="27"/>
      <c r="I377" s="28"/>
      <c r="J377" s="29"/>
      <c r="K377" s="25" t="s">
        <v>29</v>
      </c>
      <c r="L377" s="25" t="s">
        <v>30</v>
      </c>
      <c r="M377" s="25" t="s">
        <v>59</v>
      </c>
      <c r="N377" s="25"/>
      <c r="O377" t="s">
        <v>45</v>
      </c>
      <c r="P377" s="32">
        <v>-556085.63</v>
      </c>
      <c r="Q377" s="30">
        <v>0</v>
      </c>
      <c r="R377" s="30"/>
      <c r="S377" s="30">
        <v>0</v>
      </c>
      <c r="T377" t="s">
        <v>33</v>
      </c>
      <c r="U377" s="31" t="e">
        <v>#N/A</v>
      </c>
      <c r="V377" t="s">
        <v>34</v>
      </c>
      <c r="Y377" t="e">
        <f>VLOOKUP(A377,[2]!PRGX[[#All],[Proveedor]],1,FALSE)</f>
        <v>#REF!</v>
      </c>
    </row>
    <row r="378" spans="1:25" x14ac:dyDescent="0.25">
      <c r="A378" s="25">
        <v>5330</v>
      </c>
      <c r="B378" s="25" t="s">
        <v>417</v>
      </c>
      <c r="C378" s="26">
        <v>16839</v>
      </c>
      <c r="D378" s="27">
        <v>340888396.31</v>
      </c>
      <c r="E378" s="27">
        <v>282811136.38999999</v>
      </c>
      <c r="F378" s="27">
        <v>58077259.920000002</v>
      </c>
      <c r="G378" s="27">
        <f>VLOOKUP(A378,'[1]saldos al 26May26'!$C$2:$I$1010,7,FALSE)</f>
        <v>-2515919.91</v>
      </c>
      <c r="H378" s="27"/>
      <c r="I378" s="28"/>
      <c r="J378" s="29"/>
      <c r="K378" s="25" t="s">
        <v>29</v>
      </c>
      <c r="L378" s="25" t="s">
        <v>30</v>
      </c>
      <c r="M378" s="25" t="s">
        <v>59</v>
      </c>
      <c r="N378" s="25"/>
      <c r="O378" t="s">
        <v>38</v>
      </c>
      <c r="P378" s="32">
        <v>-349029.52</v>
      </c>
      <c r="Q378" s="30">
        <v>778841.91</v>
      </c>
      <c r="R378" s="30">
        <v>139320</v>
      </c>
      <c r="S378" s="30" t="s">
        <v>33</v>
      </c>
      <c r="T378" t="s">
        <v>33</v>
      </c>
      <c r="U378" s="31" t="e">
        <v>#N/A</v>
      </c>
      <c r="V378" t="s">
        <v>34</v>
      </c>
      <c r="Y378" t="e">
        <f>VLOOKUP(A378,[2]!PRGX[[#All],[Proveedor]],1,FALSE)</f>
        <v>#REF!</v>
      </c>
    </row>
    <row r="379" spans="1:25" x14ac:dyDescent="0.25">
      <c r="A379" s="25">
        <v>312397</v>
      </c>
      <c r="B379" s="25" t="s">
        <v>418</v>
      </c>
      <c r="C379" s="26">
        <v>2536</v>
      </c>
      <c r="D379" s="27">
        <v>338766878.83999997</v>
      </c>
      <c r="E379" s="27">
        <v>236648538.19999999</v>
      </c>
      <c r="F379" s="27">
        <v>102118340.64</v>
      </c>
      <c r="G379" s="27">
        <f>VLOOKUP(A379,'[1]saldos al 26May26'!$C$2:$I$1010,7,FALSE)</f>
        <v>-19276097.760000002</v>
      </c>
      <c r="H379" s="27"/>
      <c r="I379" s="28"/>
      <c r="J379" s="29"/>
      <c r="K379" s="25" t="s">
        <v>29</v>
      </c>
      <c r="L379" s="25" t="s">
        <v>30</v>
      </c>
      <c r="M379" s="25" t="s">
        <v>50</v>
      </c>
      <c r="N379" s="25"/>
      <c r="O379" t="s">
        <v>96</v>
      </c>
      <c r="P379" s="30">
        <v>2537400.94</v>
      </c>
      <c r="Q379" s="30">
        <v>8792286.4399999995</v>
      </c>
      <c r="R379" s="30"/>
      <c r="S379" s="30">
        <v>0</v>
      </c>
      <c r="T379" t="s">
        <v>33</v>
      </c>
      <c r="U379" s="31">
        <v>0</v>
      </c>
      <c r="V379" t="s">
        <v>34</v>
      </c>
      <c r="Y379" t="e">
        <f>VLOOKUP(A379,[2]!PRGX[[#All],[Proveedor]],1,FALSE)</f>
        <v>#REF!</v>
      </c>
    </row>
    <row r="380" spans="1:25" x14ac:dyDescent="0.25">
      <c r="A380" s="25">
        <v>66464</v>
      </c>
      <c r="B380" s="25" t="s">
        <v>419</v>
      </c>
      <c r="C380" s="26">
        <v>169422</v>
      </c>
      <c r="D380" s="27">
        <v>336954128.52270001</v>
      </c>
      <c r="E380" s="27">
        <v>316469713.57890004</v>
      </c>
      <c r="F380" s="27">
        <v>20484414.943799999</v>
      </c>
      <c r="G380" s="27">
        <f>VLOOKUP(A380,'[1]saldos al 26May26'!$C$2:$I$1010,7,FALSE)</f>
        <v>-1751874.51</v>
      </c>
      <c r="H380" s="27"/>
      <c r="I380" s="28"/>
      <c r="J380" s="29"/>
      <c r="K380" s="25" t="s">
        <v>29</v>
      </c>
      <c r="L380" s="25" t="s">
        <v>30</v>
      </c>
      <c r="M380" s="25" t="s">
        <v>59</v>
      </c>
      <c r="N380" s="25"/>
      <c r="O380" t="s">
        <v>70</v>
      </c>
      <c r="P380" s="30">
        <v>257185.19000000003</v>
      </c>
      <c r="Q380" s="30">
        <v>15105.1</v>
      </c>
      <c r="R380" s="30"/>
      <c r="S380" s="30" t="s">
        <v>63</v>
      </c>
      <c r="T380" t="s">
        <v>33</v>
      </c>
      <c r="U380" s="31" t="s">
        <v>33</v>
      </c>
      <c r="V380" t="s">
        <v>33</v>
      </c>
      <c r="Y380" t="e">
        <f>VLOOKUP(A380,[2]!PRGX[[#All],[Proveedor]],1,FALSE)</f>
        <v>#REF!</v>
      </c>
    </row>
    <row r="381" spans="1:25" x14ac:dyDescent="0.25">
      <c r="A381" s="25">
        <v>384255</v>
      </c>
      <c r="B381" s="25" t="s">
        <v>420</v>
      </c>
      <c r="C381" s="26">
        <v>32994</v>
      </c>
      <c r="D381" s="27">
        <v>329363098.9321</v>
      </c>
      <c r="E381" s="27">
        <v>320750479.2281</v>
      </c>
      <c r="F381" s="27">
        <v>8612619.7039999999</v>
      </c>
      <c r="G381" s="27">
        <f>VLOOKUP(A381,'[1]saldos al 26May26'!$C$2:$I$1010,7,FALSE)</f>
        <v>-567689.96</v>
      </c>
      <c r="H381" s="27"/>
      <c r="I381" s="28"/>
      <c r="J381" s="29"/>
      <c r="K381" s="25" t="s">
        <v>29</v>
      </c>
      <c r="L381" s="25" t="s">
        <v>30</v>
      </c>
      <c r="M381" s="25" t="s">
        <v>59</v>
      </c>
      <c r="N381" s="25"/>
      <c r="O381" t="s">
        <v>70</v>
      </c>
      <c r="P381" s="30">
        <v>745302.78</v>
      </c>
      <c r="Q381" s="30">
        <v>16519.55</v>
      </c>
      <c r="R381" s="30"/>
      <c r="S381" s="30" t="s">
        <v>33</v>
      </c>
      <c r="T381" t="s">
        <v>33</v>
      </c>
      <c r="U381" s="31" t="e">
        <v>#N/A</v>
      </c>
      <c r="V381" t="s">
        <v>34</v>
      </c>
      <c r="Y381" t="e">
        <f>VLOOKUP(A381,[2]!PRGX[[#All],[Proveedor]],1,FALSE)</f>
        <v>#REF!</v>
      </c>
    </row>
    <row r="382" spans="1:25" x14ac:dyDescent="0.25">
      <c r="A382" s="25">
        <v>319178</v>
      </c>
      <c r="B382" s="25" t="s">
        <v>421</v>
      </c>
      <c r="C382" s="26">
        <v>46411</v>
      </c>
      <c r="D382" s="27">
        <v>329113968.77999997</v>
      </c>
      <c r="E382" s="27">
        <v>259096303.32999998</v>
      </c>
      <c r="F382" s="27">
        <v>70017665.450000003</v>
      </c>
      <c r="G382" s="27">
        <f>VLOOKUP(A382,'[1]saldos al 26May26'!$C$2:$I$1010,7,FALSE)</f>
        <v>-16171335.449999999</v>
      </c>
      <c r="H382" s="27"/>
      <c r="I382" s="28"/>
      <c r="J382" s="29"/>
      <c r="K382" s="25" t="s">
        <v>29</v>
      </c>
      <c r="L382" s="25" t="s">
        <v>30</v>
      </c>
      <c r="M382" s="25" t="s">
        <v>59</v>
      </c>
      <c r="N382" s="25"/>
      <c r="O382" t="s">
        <v>80</v>
      </c>
      <c r="P382" s="32">
        <v>-464461.27</v>
      </c>
      <c r="Q382" s="30">
        <v>214126.23</v>
      </c>
      <c r="R382" s="30"/>
      <c r="S382" s="30" t="s">
        <v>63</v>
      </c>
      <c r="T382" t="s">
        <v>33</v>
      </c>
      <c r="U382" s="31" t="e">
        <v>#N/A</v>
      </c>
      <c r="V382" t="s">
        <v>34</v>
      </c>
      <c r="Y382" t="e">
        <f>VLOOKUP(A382,[2]!PRGX[[#All],[Proveedor]],1,FALSE)</f>
        <v>#REF!</v>
      </c>
    </row>
    <row r="383" spans="1:25" x14ac:dyDescent="0.25">
      <c r="A383" s="25">
        <v>325803</v>
      </c>
      <c r="B383" s="25" t="s">
        <v>422</v>
      </c>
      <c r="C383" s="26">
        <v>36441</v>
      </c>
      <c r="D383" s="27">
        <v>329006942.64749998</v>
      </c>
      <c r="E383" s="27">
        <v>302228999.4799</v>
      </c>
      <c r="F383" s="27">
        <v>26777943.167599998</v>
      </c>
      <c r="G383" s="27">
        <f>VLOOKUP(A383,'[1]saldos al 26May26'!$C$2:$I$1010,7,FALSE)</f>
        <v>-2593110.44</v>
      </c>
      <c r="H383" s="27"/>
      <c r="I383" s="28"/>
      <c r="J383" s="29"/>
      <c r="K383" s="25" t="s">
        <v>29</v>
      </c>
      <c r="L383" s="25" t="s">
        <v>30</v>
      </c>
      <c r="M383" s="25" t="s">
        <v>59</v>
      </c>
      <c r="N383" s="25"/>
      <c r="O383" t="s">
        <v>67</v>
      </c>
      <c r="P383" s="32">
        <v>-1080942</v>
      </c>
      <c r="Q383" s="30">
        <v>653203.77</v>
      </c>
      <c r="R383" s="30"/>
      <c r="S383" s="30" t="s">
        <v>63</v>
      </c>
      <c r="T383" t="s">
        <v>33</v>
      </c>
      <c r="U383" s="31" t="e">
        <v>#N/A</v>
      </c>
      <c r="V383" t="s">
        <v>34</v>
      </c>
      <c r="Y383" t="e">
        <f>VLOOKUP(A383,[2]!PRGX[[#All],[Proveedor]],1,FALSE)</f>
        <v>#REF!</v>
      </c>
    </row>
    <row r="384" spans="1:25" x14ac:dyDescent="0.25">
      <c r="A384" s="25">
        <v>21869</v>
      </c>
      <c r="B384" s="25" t="s">
        <v>93</v>
      </c>
      <c r="C384" s="26">
        <v>16338</v>
      </c>
      <c r="D384" s="27">
        <v>327868920.25999999</v>
      </c>
      <c r="E384" s="27">
        <v>304248530.42000002</v>
      </c>
      <c r="F384" s="27">
        <v>23620389.84</v>
      </c>
      <c r="G384" s="27">
        <f>VLOOKUP(A384,'[1]saldos al 26May26'!$C$2:$I$1010,7,FALSE)</f>
        <v>-1704188.84</v>
      </c>
      <c r="H384" s="27"/>
      <c r="I384" s="28"/>
      <c r="J384" s="29"/>
      <c r="K384" s="25" t="s">
        <v>29</v>
      </c>
      <c r="L384" s="25" t="s">
        <v>30</v>
      </c>
      <c r="M384" s="25" t="s">
        <v>50</v>
      </c>
      <c r="N384" s="25"/>
      <c r="O384" t="s">
        <v>45</v>
      </c>
      <c r="P384" s="32">
        <v>-12770573.18</v>
      </c>
      <c r="Q384" s="30">
        <v>1226441.55</v>
      </c>
      <c r="R384" s="30"/>
      <c r="S384" s="30">
        <v>0</v>
      </c>
      <c r="T384" t="s">
        <v>33</v>
      </c>
      <c r="U384" s="31">
        <v>0</v>
      </c>
      <c r="V384" t="s">
        <v>34</v>
      </c>
      <c r="Y384" t="e">
        <f>VLOOKUP(A384,[2]!PRGX[[#All],[Proveedor]],1,FALSE)</f>
        <v>#REF!</v>
      </c>
    </row>
    <row r="385" spans="1:26" x14ac:dyDescent="0.25">
      <c r="A385" s="25">
        <v>3860</v>
      </c>
      <c r="B385" s="25" t="s">
        <v>423</v>
      </c>
      <c r="C385" s="26">
        <v>11320</v>
      </c>
      <c r="D385" s="27">
        <v>327826890.67129999</v>
      </c>
      <c r="E385" s="27">
        <v>217460123.4197</v>
      </c>
      <c r="F385" s="27">
        <v>110366767.2516</v>
      </c>
      <c r="G385" s="27">
        <f>VLOOKUP(A385,'[1]saldos al 26May26'!$C$2:$I$1010,7,FALSE)</f>
        <v>-9843253.5600000005</v>
      </c>
      <c r="H385" s="27"/>
      <c r="I385" s="28"/>
      <c r="J385" s="29"/>
      <c r="K385" s="25" t="s">
        <v>29</v>
      </c>
      <c r="L385" s="25" t="s">
        <v>30</v>
      </c>
      <c r="M385" s="25" t="s">
        <v>31</v>
      </c>
      <c r="N385" s="25"/>
      <c r="O385" t="s">
        <v>67</v>
      </c>
      <c r="P385" s="32">
        <v>-497412.41</v>
      </c>
      <c r="Q385" s="30">
        <v>0</v>
      </c>
      <c r="R385" s="30"/>
      <c r="S385" s="30" t="s">
        <v>63</v>
      </c>
      <c r="T385" t="s">
        <v>33</v>
      </c>
      <c r="U385" s="31">
        <v>0</v>
      </c>
      <c r="V385" t="s">
        <v>42</v>
      </c>
      <c r="Y385" t="e">
        <f>VLOOKUP(A385,[2]!PRGX[[#All],[Proveedor]],1,FALSE)</f>
        <v>#REF!</v>
      </c>
    </row>
    <row r="386" spans="1:26" x14ac:dyDescent="0.25">
      <c r="A386" s="25">
        <v>397315</v>
      </c>
      <c r="B386" s="25" t="s">
        <v>424</v>
      </c>
      <c r="C386" s="26">
        <v>105325</v>
      </c>
      <c r="D386" s="27">
        <v>327276837.32999998</v>
      </c>
      <c r="E386" s="27">
        <v>283387424.70999998</v>
      </c>
      <c r="F386" s="27">
        <v>43889412.619999997</v>
      </c>
      <c r="G386" s="27">
        <f>VLOOKUP(A386,'[1]saldos al 26May26'!$C$2:$I$1010,7,FALSE)</f>
        <v>-9625308.7200000007</v>
      </c>
      <c r="H386" s="27"/>
      <c r="I386" s="28"/>
      <c r="J386" s="29"/>
      <c r="K386" s="25" t="s">
        <v>29</v>
      </c>
      <c r="L386" s="25" t="s">
        <v>30</v>
      </c>
      <c r="M386" s="25" t="s">
        <v>31</v>
      </c>
      <c r="N386" s="25"/>
      <c r="O386" t="s">
        <v>38</v>
      </c>
      <c r="P386" s="30">
        <v>3449604.61</v>
      </c>
      <c r="Q386" s="30">
        <v>1542746.52</v>
      </c>
      <c r="R386" s="30"/>
      <c r="S386" s="30" t="s">
        <v>33</v>
      </c>
      <c r="T386" t="s">
        <v>33</v>
      </c>
      <c r="U386" s="31" t="s">
        <v>33</v>
      </c>
      <c r="V386" t="s">
        <v>33</v>
      </c>
      <c r="Y386" t="e">
        <f>VLOOKUP(A386,[2]!PRGX[[#All],[Proveedor]],1,FALSE)</f>
        <v>#REF!</v>
      </c>
      <c r="Z386">
        <v>397315</v>
      </c>
    </row>
    <row r="387" spans="1:26" x14ac:dyDescent="0.25">
      <c r="A387" s="25">
        <v>381632</v>
      </c>
      <c r="B387" s="25" t="s">
        <v>425</v>
      </c>
      <c r="C387" s="26">
        <v>7134</v>
      </c>
      <c r="D387" s="27">
        <v>326965196.08999997</v>
      </c>
      <c r="E387" s="27">
        <v>274259308.088</v>
      </c>
      <c r="F387" s="27">
        <v>52705888.001999997</v>
      </c>
      <c r="G387" s="27">
        <f>VLOOKUP(A387,'[1]saldos al 26May26'!$C$2:$I$1010,7,FALSE)</f>
        <v>-7012697.3399999999</v>
      </c>
      <c r="H387" s="27"/>
      <c r="I387" s="28"/>
      <c r="J387" s="29"/>
      <c r="K387" s="25" t="s">
        <v>29</v>
      </c>
      <c r="L387" s="25" t="s">
        <v>30</v>
      </c>
      <c r="M387" s="25" t="s">
        <v>59</v>
      </c>
      <c r="N387" s="25"/>
      <c r="O387" t="s">
        <v>51</v>
      </c>
      <c r="P387" s="32">
        <v>-211740.80999999997</v>
      </c>
      <c r="Q387" s="30">
        <v>498185.1</v>
      </c>
      <c r="R387" s="30">
        <v>7214</v>
      </c>
      <c r="S387" s="30" t="s">
        <v>33</v>
      </c>
      <c r="T387" t="s">
        <v>33</v>
      </c>
      <c r="U387" s="31" t="e">
        <v>#N/A</v>
      </c>
      <c r="V387" t="s">
        <v>34</v>
      </c>
      <c r="Y387" t="e">
        <f>VLOOKUP(A387,[2]!PRGX[[#All],[Proveedor]],1,FALSE)</f>
        <v>#REF!</v>
      </c>
    </row>
    <row r="388" spans="1:26" x14ac:dyDescent="0.25">
      <c r="A388" s="25">
        <v>24447</v>
      </c>
      <c r="B388" s="25" t="s">
        <v>426</v>
      </c>
      <c r="C388" s="26">
        <v>19178</v>
      </c>
      <c r="D388" s="27">
        <v>325947151.74000001</v>
      </c>
      <c r="E388" s="27">
        <v>190136428.58000001</v>
      </c>
      <c r="F388" s="27">
        <v>135810723.16</v>
      </c>
      <c r="G388" s="27">
        <f>VLOOKUP(A388,'[1]saldos al 26May26'!$C$2:$I$1010,7,FALSE)</f>
        <v>-981340.53</v>
      </c>
      <c r="H388" s="27"/>
      <c r="I388" s="28" t="s">
        <v>27</v>
      </c>
      <c r="J388" s="29"/>
      <c r="K388" s="25" t="s">
        <v>29</v>
      </c>
      <c r="L388" s="25" t="s">
        <v>30</v>
      </c>
      <c r="M388" s="25" t="s">
        <v>31</v>
      </c>
      <c r="N388" s="25"/>
      <c r="O388" t="s">
        <v>32</v>
      </c>
      <c r="P388" s="32">
        <v>-12151719.309999999</v>
      </c>
      <c r="Q388" s="30">
        <v>0</v>
      </c>
      <c r="R388" s="30"/>
      <c r="S388" s="30" t="s">
        <v>33</v>
      </c>
      <c r="T388" t="s">
        <v>33</v>
      </c>
      <c r="U388" s="31" t="e">
        <v>#N/A</v>
      </c>
      <c r="V388" t="s">
        <v>34</v>
      </c>
      <c r="Y388" t="e">
        <f>VLOOKUP(A388,[2]!PRGX[[#All],[Proveedor]],1,FALSE)</f>
        <v>#REF!</v>
      </c>
      <c r="Z388">
        <v>24447</v>
      </c>
    </row>
    <row r="389" spans="1:26" x14ac:dyDescent="0.25">
      <c r="A389" s="25">
        <v>35550</v>
      </c>
      <c r="B389" s="25" t="s">
        <v>427</v>
      </c>
      <c r="C389" s="26">
        <v>63277</v>
      </c>
      <c r="D389" s="27">
        <v>323663098.62300003</v>
      </c>
      <c r="E389" s="27">
        <v>246338726.97300002</v>
      </c>
      <c r="F389" s="27">
        <v>77324371.650000006</v>
      </c>
      <c r="G389" s="27">
        <f>VLOOKUP(A389,'[1]saldos al 26May26'!$C$2:$I$1010,7,FALSE)</f>
        <v>-1422832.34</v>
      </c>
      <c r="H389" s="27"/>
      <c r="I389" s="28"/>
      <c r="J389" s="29"/>
      <c r="K389" s="25" t="s">
        <v>29</v>
      </c>
      <c r="L389" s="25" t="s">
        <v>30</v>
      </c>
      <c r="M389" s="25" t="s">
        <v>55</v>
      </c>
      <c r="N389" s="25"/>
      <c r="O389" t="s">
        <v>38</v>
      </c>
      <c r="P389" s="32">
        <v>-133606.46</v>
      </c>
      <c r="Q389" s="30">
        <v>348051.6</v>
      </c>
      <c r="R389" s="30"/>
      <c r="S389" s="30" t="s">
        <v>33</v>
      </c>
      <c r="T389" t="s">
        <v>33</v>
      </c>
      <c r="U389" s="31" t="e">
        <v>#N/A</v>
      </c>
      <c r="V389" t="s">
        <v>34</v>
      </c>
      <c r="Y389" t="e">
        <f>VLOOKUP(A389,[2]!PRGX[[#All],[Proveedor]],1,FALSE)</f>
        <v>#REF!</v>
      </c>
    </row>
    <row r="390" spans="1:26" x14ac:dyDescent="0.25">
      <c r="A390" s="36">
        <v>55004</v>
      </c>
      <c r="B390" s="36" t="s">
        <v>428</v>
      </c>
      <c r="C390" s="37">
        <v>53795</v>
      </c>
      <c r="D390" s="38">
        <v>322987893.32999998</v>
      </c>
      <c r="E390" s="38">
        <v>282321986.36000001</v>
      </c>
      <c r="F390" s="38">
        <v>40665906.969999999</v>
      </c>
      <c r="G390" s="38">
        <f>VLOOKUP(A390,'[1]saldos al 26May26'!$C$2:$I$1010,7,FALSE)</f>
        <v>1425220.86</v>
      </c>
      <c r="H390" s="39" t="s">
        <v>54</v>
      </c>
      <c r="I390" s="40"/>
      <c r="J390" s="41"/>
      <c r="K390" s="36" t="s">
        <v>29</v>
      </c>
      <c r="L390" s="36" t="s">
        <v>30</v>
      </c>
      <c r="M390" s="36" t="s">
        <v>55</v>
      </c>
      <c r="N390" s="25"/>
      <c r="O390" s="42" t="s">
        <v>96</v>
      </c>
      <c r="P390" s="30">
        <v>10368692.140000001</v>
      </c>
      <c r="Q390" s="30">
        <v>9349474.8800000008</v>
      </c>
      <c r="R390" s="30"/>
      <c r="S390" s="30">
        <v>0</v>
      </c>
      <c r="T390" t="s">
        <v>33</v>
      </c>
      <c r="U390" s="31">
        <v>0</v>
      </c>
      <c r="V390" t="s">
        <v>34</v>
      </c>
      <c r="Y390" t="e">
        <f>VLOOKUP(A390,[2]!PRGX[[#All],[Proveedor]],1,FALSE)</f>
        <v>#REF!</v>
      </c>
    </row>
    <row r="391" spans="1:26" x14ac:dyDescent="0.25">
      <c r="A391" s="25">
        <v>83394</v>
      </c>
      <c r="B391" s="25" t="s">
        <v>429</v>
      </c>
      <c r="C391" s="26">
        <v>82888</v>
      </c>
      <c r="D391" s="27">
        <v>321993547.88</v>
      </c>
      <c r="E391" s="27">
        <v>281048124.50999999</v>
      </c>
      <c r="F391" s="27">
        <v>40945423.369999997</v>
      </c>
      <c r="G391" s="27">
        <f>VLOOKUP(A391,'[1]saldos al 26May26'!$C$2:$I$1010,7,FALSE)</f>
        <v>-3575656.38</v>
      </c>
      <c r="H391" s="27"/>
      <c r="I391" s="28"/>
      <c r="J391" s="29"/>
      <c r="K391" s="25" t="s">
        <v>29</v>
      </c>
      <c r="L391" s="25" t="s">
        <v>30</v>
      </c>
      <c r="M391" s="25" t="s">
        <v>59</v>
      </c>
      <c r="N391" s="25"/>
      <c r="O391" t="s">
        <v>87</v>
      </c>
      <c r="P391" s="30">
        <v>257310.23</v>
      </c>
      <c r="Q391" s="30">
        <v>926355.38</v>
      </c>
      <c r="R391" s="30">
        <v>24862.43</v>
      </c>
      <c r="S391" s="30" t="s">
        <v>63</v>
      </c>
      <c r="T391" t="s">
        <v>33</v>
      </c>
      <c r="U391" s="31">
        <v>0</v>
      </c>
      <c r="V391" t="s">
        <v>42</v>
      </c>
      <c r="Y391" t="e">
        <f>VLOOKUP(A391,[2]!PRGX[[#All],[Proveedor]],1,FALSE)</f>
        <v>#REF!</v>
      </c>
    </row>
    <row r="392" spans="1:26" x14ac:dyDescent="0.25">
      <c r="A392" s="25">
        <v>306225</v>
      </c>
      <c r="B392" s="25" t="s">
        <v>430</v>
      </c>
      <c r="C392" s="26">
        <v>86622</v>
      </c>
      <c r="D392" s="27">
        <v>320315683.48000002</v>
      </c>
      <c r="E392" s="27">
        <v>300034270.81</v>
      </c>
      <c r="F392" s="27">
        <v>20281412.670000002</v>
      </c>
      <c r="G392" s="27">
        <f>VLOOKUP(A392,'[1]saldos al 26May26'!$C$2:$I$1010,7,FALSE)</f>
        <v>-2565668.52</v>
      </c>
      <c r="H392" s="27"/>
      <c r="I392" s="28"/>
      <c r="J392" s="29"/>
      <c r="K392" s="25" t="s">
        <v>29</v>
      </c>
      <c r="L392" s="25" t="s">
        <v>30</v>
      </c>
      <c r="M392" s="25" t="s">
        <v>59</v>
      </c>
      <c r="N392" s="25"/>
      <c r="O392" t="s">
        <v>38</v>
      </c>
      <c r="P392" s="30">
        <v>10906957.180000002</v>
      </c>
      <c r="Q392" s="30">
        <v>11044879.93</v>
      </c>
      <c r="R392" s="30">
        <v>71736.14</v>
      </c>
      <c r="S392" s="30" t="s">
        <v>33</v>
      </c>
      <c r="T392" t="s">
        <v>33</v>
      </c>
      <c r="U392" s="31" t="e">
        <v>#N/A</v>
      </c>
      <c r="V392" t="s">
        <v>34</v>
      </c>
      <c r="Y392" t="e">
        <f>VLOOKUP(A392,[2]!PRGX[[#All],[Proveedor]],1,FALSE)</f>
        <v>#REF!</v>
      </c>
    </row>
    <row r="393" spans="1:26" x14ac:dyDescent="0.25">
      <c r="A393" s="25">
        <v>23210</v>
      </c>
      <c r="B393" s="25" t="s">
        <v>431</v>
      </c>
      <c r="C393" s="26">
        <v>45146</v>
      </c>
      <c r="D393" s="27">
        <v>319784525.06</v>
      </c>
      <c r="E393" s="27">
        <v>235528591.91</v>
      </c>
      <c r="F393" s="27">
        <v>84255933.150000006</v>
      </c>
      <c r="G393" s="27">
        <f>VLOOKUP(A393,'[1]saldos al 26May26'!$C$2:$I$1010,7,FALSE)</f>
        <v>-15757492.32</v>
      </c>
      <c r="H393" s="27"/>
      <c r="I393" s="28"/>
      <c r="J393" s="29"/>
      <c r="K393" s="25" t="s">
        <v>29</v>
      </c>
      <c r="L393" s="25" t="s">
        <v>30</v>
      </c>
      <c r="M393" s="25" t="s">
        <v>59</v>
      </c>
      <c r="N393" s="25"/>
      <c r="O393" t="s">
        <v>36</v>
      </c>
      <c r="P393" s="32">
        <v>-726362.66999999993</v>
      </c>
      <c r="Q393" s="30">
        <v>0</v>
      </c>
      <c r="R393" s="30">
        <v>247007.12</v>
      </c>
      <c r="S393" s="30" t="s">
        <v>33</v>
      </c>
      <c r="T393" t="s">
        <v>33</v>
      </c>
      <c r="U393" s="31" t="s">
        <v>33</v>
      </c>
      <c r="V393" t="s">
        <v>33</v>
      </c>
      <c r="Y393" t="e">
        <f>VLOOKUP(A393,[2]!PRGX[[#All],[Proveedor]],1,FALSE)</f>
        <v>#REF!</v>
      </c>
    </row>
    <row r="394" spans="1:26" x14ac:dyDescent="0.25">
      <c r="A394" s="36">
        <v>380220</v>
      </c>
      <c r="B394" s="36" t="s">
        <v>432</v>
      </c>
      <c r="C394" s="37">
        <v>9120</v>
      </c>
      <c r="D394" s="38">
        <v>181569866.65000001</v>
      </c>
      <c r="E394" s="38">
        <v>179652576.65000001</v>
      </c>
      <c r="F394" s="38">
        <v>1917290</v>
      </c>
      <c r="G394" s="38" t="e">
        <f>VLOOKUP(A394,'[1]saldos al 26May26'!$C$2:$I$1010,7,FALSE)</f>
        <v>#N/A</v>
      </c>
      <c r="H394" s="39" t="s">
        <v>54</v>
      </c>
      <c r="I394" s="40"/>
      <c r="J394" s="41">
        <v>121221.1</v>
      </c>
      <c r="K394" s="36" t="s">
        <v>40</v>
      </c>
      <c r="L394" s="36" t="s">
        <v>30</v>
      </c>
      <c r="M394" s="36" t="s">
        <v>55</v>
      </c>
      <c r="N394" s="25" t="s">
        <v>56</v>
      </c>
      <c r="O394" s="42" t="s">
        <v>56</v>
      </c>
      <c r="P394" s="32">
        <v>-135439.5</v>
      </c>
      <c r="Q394" s="30">
        <v>377553.95</v>
      </c>
      <c r="R394" s="30"/>
      <c r="S394" s="30" t="e">
        <v>#N/A</v>
      </c>
      <c r="T394" t="s">
        <v>34</v>
      </c>
      <c r="U394" s="31" t="e">
        <v>#N/A</v>
      </c>
      <c r="V394" t="s">
        <v>34</v>
      </c>
      <c r="Y394" t="e">
        <f>VLOOKUP(A394,[2]!PRGX[[#All],[Proveedor]],1,FALSE)</f>
        <v>#REF!</v>
      </c>
    </row>
    <row r="395" spans="1:26" x14ac:dyDescent="0.25">
      <c r="A395" s="25">
        <v>38331</v>
      </c>
      <c r="B395" s="25" t="s">
        <v>433</v>
      </c>
      <c r="C395" s="26">
        <v>6146</v>
      </c>
      <c r="D395" s="27">
        <v>54595038.390000001</v>
      </c>
      <c r="E395" s="27">
        <v>50721567.990000002</v>
      </c>
      <c r="F395" s="27">
        <v>3873470.4</v>
      </c>
      <c r="G395" s="27">
        <f>VLOOKUP(A395,'[1]saldos al 26May26'!$C$2:$I$1010,7,FALSE)</f>
        <v>-1950994.77</v>
      </c>
      <c r="H395" s="27"/>
      <c r="I395" s="28"/>
      <c r="J395" s="29">
        <v>113735.08615341249</v>
      </c>
      <c r="K395" s="25" t="s">
        <v>40</v>
      </c>
      <c r="L395" s="25" t="s">
        <v>30</v>
      </c>
      <c r="M395" s="25" t="s">
        <v>50</v>
      </c>
      <c r="N395" s="25" t="s">
        <v>56</v>
      </c>
      <c r="O395" t="s">
        <v>56</v>
      </c>
      <c r="P395" s="32">
        <v>-1764</v>
      </c>
      <c r="Q395" s="30">
        <v>0</v>
      </c>
      <c r="R395" s="30"/>
      <c r="S395" s="30" t="e">
        <v>#N/A</v>
      </c>
      <c r="T395" t="s">
        <v>34</v>
      </c>
      <c r="U395" s="31" t="e">
        <v>#N/A</v>
      </c>
      <c r="V395" t="s">
        <v>34</v>
      </c>
      <c r="Y395" t="e">
        <f>VLOOKUP(A395,[2]!PRGX[[#All],[Proveedor]],1,FALSE)</f>
        <v>#REF!</v>
      </c>
    </row>
    <row r="396" spans="1:26" x14ac:dyDescent="0.25">
      <c r="A396" s="25">
        <v>322602</v>
      </c>
      <c r="B396" s="25" t="s">
        <v>434</v>
      </c>
      <c r="C396" s="26">
        <v>99976</v>
      </c>
      <c r="D396" s="27">
        <v>313231859.63999999</v>
      </c>
      <c r="E396" s="27">
        <v>271091103.04999995</v>
      </c>
      <c r="F396" s="27">
        <v>42140756.590000004</v>
      </c>
      <c r="G396" s="27">
        <f>VLOOKUP(A396,'[1]saldos al 26May26'!$C$2:$I$1010,7,FALSE)</f>
        <v>-9041942.6600000001</v>
      </c>
      <c r="H396" s="27"/>
      <c r="I396" s="28"/>
      <c r="J396" s="29">
        <v>1340564.4665439711</v>
      </c>
      <c r="K396" s="25" t="s">
        <v>40</v>
      </c>
      <c r="L396" s="25" t="s">
        <v>30</v>
      </c>
      <c r="M396" s="25" t="s">
        <v>59</v>
      </c>
      <c r="N396" s="25" t="s">
        <v>70</v>
      </c>
      <c r="O396" t="s">
        <v>70</v>
      </c>
      <c r="P396" s="32">
        <v>-178236.36</v>
      </c>
      <c r="Q396" s="30">
        <v>0</v>
      </c>
      <c r="R396" s="30"/>
      <c r="S396" s="30" t="s">
        <v>63</v>
      </c>
      <c r="T396" t="s">
        <v>33</v>
      </c>
      <c r="U396" s="31" t="s">
        <v>33</v>
      </c>
      <c r="V396" t="s">
        <v>33</v>
      </c>
      <c r="Y396" t="e">
        <f>VLOOKUP(A396,[2]!PRGX[[#All],[Proveedor]],1,FALSE)</f>
        <v>#REF!</v>
      </c>
    </row>
    <row r="397" spans="1:26" x14ac:dyDescent="0.25">
      <c r="A397" s="25">
        <v>20185</v>
      </c>
      <c r="B397" s="25" t="s">
        <v>435</v>
      </c>
      <c r="C397" s="26">
        <v>17849</v>
      </c>
      <c r="D397" s="27">
        <v>312575505.42000002</v>
      </c>
      <c r="E397" s="27">
        <v>217001781.37</v>
      </c>
      <c r="F397" s="27">
        <v>95573724.049999997</v>
      </c>
      <c r="G397" s="27">
        <f>VLOOKUP(A397,'[1]saldos al 26May26'!$C$2:$I$1010,7,FALSE)</f>
        <v>-26524318.02</v>
      </c>
      <c r="H397" s="27"/>
      <c r="I397" s="28"/>
      <c r="J397" s="29"/>
      <c r="K397" s="25" t="s">
        <v>29</v>
      </c>
      <c r="L397" s="25" t="s">
        <v>30</v>
      </c>
      <c r="M397" s="25" t="s">
        <v>59</v>
      </c>
      <c r="N397" s="25"/>
      <c r="O397" t="s">
        <v>80</v>
      </c>
      <c r="P397" s="32">
        <v>-190222.77000000002</v>
      </c>
      <c r="Q397" s="30">
        <v>0</v>
      </c>
      <c r="R397" s="30"/>
      <c r="S397" s="30" t="s">
        <v>63</v>
      </c>
      <c r="T397" t="s">
        <v>33</v>
      </c>
      <c r="U397" s="31" t="s">
        <v>33</v>
      </c>
      <c r="V397" t="s">
        <v>33</v>
      </c>
      <c r="Y397" t="e">
        <f>VLOOKUP(A397,[2]!PRGX[[#All],[Proveedor]],1,FALSE)</f>
        <v>#REF!</v>
      </c>
    </row>
    <row r="398" spans="1:26" x14ac:dyDescent="0.25">
      <c r="A398" s="25">
        <v>379719</v>
      </c>
      <c r="B398" s="25" t="s">
        <v>436</v>
      </c>
      <c r="C398" s="26">
        <v>38393</v>
      </c>
      <c r="D398" s="27">
        <v>312453253.81999999</v>
      </c>
      <c r="E398" s="27">
        <v>246827145.64999998</v>
      </c>
      <c r="F398" s="27">
        <v>65626108.170000002</v>
      </c>
      <c r="G398" s="27">
        <f>VLOOKUP(A398,'[1]saldos al 26May26'!$C$2:$I$1010,7,FALSE)</f>
        <v>-4006829.49</v>
      </c>
      <c r="H398" s="27"/>
      <c r="I398" s="28"/>
      <c r="J398" s="29"/>
      <c r="K398" s="25" t="s">
        <v>29</v>
      </c>
      <c r="L398" s="25" t="s">
        <v>30</v>
      </c>
      <c r="M398" s="25" t="s">
        <v>59</v>
      </c>
      <c r="N398" s="25"/>
      <c r="O398" t="s">
        <v>32</v>
      </c>
      <c r="P398" s="32">
        <v>-206387.15000000002</v>
      </c>
      <c r="Q398" s="30">
        <v>71061.820000000007</v>
      </c>
      <c r="R398" s="30">
        <v>42900</v>
      </c>
      <c r="S398" s="30" t="s">
        <v>63</v>
      </c>
      <c r="T398" t="s">
        <v>33</v>
      </c>
      <c r="U398" s="31" t="s">
        <v>33</v>
      </c>
      <c r="V398" t="s">
        <v>33</v>
      </c>
      <c r="W398" s="42"/>
      <c r="Y398" t="e">
        <f>VLOOKUP(A398,[2]!PRGX[[#All],[Proveedor]],1,FALSE)</f>
        <v>#REF!</v>
      </c>
    </row>
    <row r="399" spans="1:26" x14ac:dyDescent="0.25">
      <c r="A399" s="25">
        <v>7606</v>
      </c>
      <c r="B399" s="25" t="s">
        <v>437</v>
      </c>
      <c r="C399" s="26">
        <v>8078</v>
      </c>
      <c r="D399" s="27">
        <v>311364882.27999997</v>
      </c>
      <c r="E399" s="27">
        <v>160326713.27999997</v>
      </c>
      <c r="F399" s="27">
        <v>151038169</v>
      </c>
      <c r="G399" s="27">
        <f>VLOOKUP(A399,'[1]saldos al 26May26'!$C$2:$I$1010,7,FALSE)</f>
        <v>-8866022.3100000005</v>
      </c>
      <c r="H399" s="27"/>
      <c r="I399" s="28"/>
      <c r="J399" s="29"/>
      <c r="K399" s="25" t="s">
        <v>29</v>
      </c>
      <c r="L399" s="25" t="s">
        <v>30</v>
      </c>
      <c r="M399" s="25" t="s">
        <v>50</v>
      </c>
      <c r="N399" s="25"/>
      <c r="O399" t="s">
        <v>96</v>
      </c>
      <c r="P399" s="32">
        <v>-207363.35</v>
      </c>
      <c r="Q399" s="30">
        <v>0</v>
      </c>
      <c r="R399" s="30">
        <v>2365.17</v>
      </c>
      <c r="S399" s="30">
        <v>0</v>
      </c>
      <c r="T399" t="s">
        <v>33</v>
      </c>
      <c r="U399" s="31" t="e">
        <v>#N/A</v>
      </c>
      <c r="V399" t="s">
        <v>34</v>
      </c>
      <c r="Y399" t="e">
        <f>VLOOKUP(A399,[2]!PRGX[[#All],[Proveedor]],1,FALSE)</f>
        <v>#REF!</v>
      </c>
    </row>
    <row r="400" spans="1:26" x14ac:dyDescent="0.25">
      <c r="A400" s="25">
        <v>332692</v>
      </c>
      <c r="B400" s="25" t="s">
        <v>438</v>
      </c>
      <c r="C400" s="26">
        <v>5188</v>
      </c>
      <c r="D400" s="27">
        <v>311117794.65069997</v>
      </c>
      <c r="E400" s="27">
        <v>227639600.83729997</v>
      </c>
      <c r="F400" s="27">
        <v>83478193.8134</v>
      </c>
      <c r="G400" s="27">
        <f>VLOOKUP(A400,'[1]saldos al 26May26'!$C$2:$I$1010,7,FALSE)</f>
        <v>-4644778.29</v>
      </c>
      <c r="H400" s="27"/>
      <c r="I400" s="28"/>
      <c r="J400" s="29">
        <v>811.89999999999918</v>
      </c>
      <c r="K400" s="25" t="s">
        <v>40</v>
      </c>
      <c r="L400" s="25" t="s">
        <v>30</v>
      </c>
      <c r="M400" s="25" t="s">
        <v>55</v>
      </c>
      <c r="N400" s="25" t="s">
        <v>47</v>
      </c>
      <c r="O400" t="s">
        <v>47</v>
      </c>
      <c r="P400" s="32">
        <v>-753219.21</v>
      </c>
      <c r="Q400" s="30">
        <v>0</v>
      </c>
      <c r="R400" s="30"/>
      <c r="S400" s="30" t="e">
        <v>#N/A</v>
      </c>
      <c r="T400" t="s">
        <v>34</v>
      </c>
      <c r="U400" s="31" t="e">
        <v>#N/A</v>
      </c>
      <c r="V400" t="s">
        <v>34</v>
      </c>
      <c r="Y400" t="e">
        <f>VLOOKUP(A400,[2]!PRGX[[#All],[Proveedor]],1,FALSE)</f>
        <v>#REF!</v>
      </c>
    </row>
    <row r="401" spans="1:25" x14ac:dyDescent="0.25">
      <c r="A401" s="25">
        <v>61325</v>
      </c>
      <c r="B401" s="25" t="s">
        <v>439</v>
      </c>
      <c r="C401" s="26">
        <v>42588</v>
      </c>
      <c r="D401" s="27">
        <v>309679779.61000001</v>
      </c>
      <c r="E401" s="27">
        <v>259226418.12</v>
      </c>
      <c r="F401" s="27">
        <v>50453361.490000002</v>
      </c>
      <c r="G401" s="27">
        <f>VLOOKUP(A401,'[1]saldos al 26May26'!$C$2:$I$1010,7,FALSE)</f>
        <v>-11793055.189999999</v>
      </c>
      <c r="H401" s="27"/>
      <c r="I401" s="28"/>
      <c r="J401" s="29"/>
      <c r="K401" s="25" t="s">
        <v>29</v>
      </c>
      <c r="L401" s="25" t="s">
        <v>30</v>
      </c>
      <c r="M401" s="25" t="s">
        <v>55</v>
      </c>
      <c r="N401" s="25"/>
      <c r="O401" t="s">
        <v>51</v>
      </c>
      <c r="P401" s="32">
        <v>-1103221.6400000001</v>
      </c>
      <c r="Q401" s="30">
        <v>2086947.91</v>
      </c>
      <c r="R401" s="30">
        <v>2239.14</v>
      </c>
      <c r="S401" s="30" t="s">
        <v>63</v>
      </c>
      <c r="T401" t="s">
        <v>33</v>
      </c>
      <c r="U401" s="31" t="e">
        <v>#N/A</v>
      </c>
      <c r="V401" t="s">
        <v>34</v>
      </c>
      <c r="Y401" t="e">
        <f>VLOOKUP(A401,[2]!PRGX[[#All],[Proveedor]],1,FALSE)</f>
        <v>#REF!</v>
      </c>
    </row>
    <row r="402" spans="1:25" x14ac:dyDescent="0.25">
      <c r="A402" s="25">
        <v>20851</v>
      </c>
      <c r="B402" s="25" t="s">
        <v>440</v>
      </c>
      <c r="C402" s="26">
        <v>12009</v>
      </c>
      <c r="D402" s="27">
        <v>401737238.66960001</v>
      </c>
      <c r="E402" s="27">
        <v>312095621.91960001</v>
      </c>
      <c r="F402" s="27">
        <v>89641616.75</v>
      </c>
      <c r="G402" s="27">
        <f>VLOOKUP(A402,'[1]saldos al 26May26'!$C$2:$I$1010,7,FALSE)</f>
        <v>-76964699.140000001</v>
      </c>
      <c r="H402" s="27"/>
      <c r="I402" s="28"/>
      <c r="J402" s="29">
        <v>113580.9751511795</v>
      </c>
      <c r="K402" s="25" t="s">
        <v>40</v>
      </c>
      <c r="L402" s="25" t="s">
        <v>30</v>
      </c>
      <c r="M402" s="25" t="s">
        <v>31</v>
      </c>
      <c r="N402" s="25" t="s">
        <v>56</v>
      </c>
      <c r="O402" t="s">
        <v>56</v>
      </c>
      <c r="P402" s="30">
        <v>351059.72</v>
      </c>
      <c r="Q402" s="30">
        <v>942428.61</v>
      </c>
      <c r="R402" s="30">
        <v>1109874</v>
      </c>
      <c r="S402" s="30">
        <v>0</v>
      </c>
      <c r="T402" t="s">
        <v>33</v>
      </c>
      <c r="U402" s="31">
        <v>0</v>
      </c>
      <c r="V402" t="s">
        <v>42</v>
      </c>
      <c r="Y402" t="e">
        <f>VLOOKUP(A402,[2]!PRGX[[#All],[Proveedor]],1,FALSE)</f>
        <v>#REF!</v>
      </c>
    </row>
    <row r="403" spans="1:25" x14ac:dyDescent="0.25">
      <c r="A403" s="36">
        <v>23789</v>
      </c>
      <c r="B403" s="36" t="s">
        <v>441</v>
      </c>
      <c r="C403" s="37">
        <v>122</v>
      </c>
      <c r="D403" s="38">
        <v>10799584.24</v>
      </c>
      <c r="E403" s="38">
        <v>10229344.24</v>
      </c>
      <c r="F403" s="38">
        <v>570240</v>
      </c>
      <c r="G403" s="38" t="e">
        <f>VLOOKUP(A403,'[1]saldos al 26May26'!$C$2:$I$1010,7,FALSE)</f>
        <v>#N/A</v>
      </c>
      <c r="H403" s="39" t="s">
        <v>54</v>
      </c>
      <c r="I403" s="40"/>
      <c r="J403" s="41">
        <v>87881.35317004798</v>
      </c>
      <c r="K403" s="36" t="s">
        <v>40</v>
      </c>
      <c r="L403" s="36" t="s">
        <v>30</v>
      </c>
      <c r="M403" s="36" t="s">
        <v>55</v>
      </c>
      <c r="N403" s="25" t="s">
        <v>56</v>
      </c>
      <c r="O403" s="42" t="s">
        <v>56</v>
      </c>
      <c r="P403" s="32">
        <v>-115313.28</v>
      </c>
      <c r="Q403" s="30">
        <v>0</v>
      </c>
      <c r="R403" s="30"/>
      <c r="S403" s="30" t="e">
        <v>#N/A</v>
      </c>
      <c r="T403" t="s">
        <v>34</v>
      </c>
      <c r="U403" s="31" t="e">
        <v>#N/A</v>
      </c>
      <c r="V403" t="s">
        <v>34</v>
      </c>
      <c r="Y403" t="e">
        <f>VLOOKUP(A403,[2]!PRGX[[#All],[Proveedor]],1,FALSE)</f>
        <v>#REF!</v>
      </c>
    </row>
    <row r="404" spans="1:25" x14ac:dyDescent="0.25">
      <c r="A404" s="52">
        <v>8652</v>
      </c>
      <c r="B404" s="52" t="s">
        <v>442</v>
      </c>
      <c r="C404" s="53">
        <v>22066</v>
      </c>
      <c r="D404" s="54">
        <v>306791383.86000001</v>
      </c>
      <c r="E404" s="27">
        <v>249706214.69</v>
      </c>
      <c r="F404" s="27">
        <v>57085169.170000002</v>
      </c>
      <c r="G404" s="54">
        <f>VLOOKUP(A404,'[1]saldos al 26May26'!$C$2:$I$1010,7,FALSE)</f>
        <v>-7575969.4100000001</v>
      </c>
      <c r="H404" s="54"/>
      <c r="I404" s="55"/>
      <c r="J404" s="56">
        <v>540041.09689544397</v>
      </c>
      <c r="K404" s="52" t="s">
        <v>29</v>
      </c>
      <c r="L404" s="52" t="s">
        <v>30</v>
      </c>
      <c r="M404" s="52" t="s">
        <v>50</v>
      </c>
      <c r="N404" s="52" t="s">
        <v>67</v>
      </c>
      <c r="O404" s="57" t="s">
        <v>67</v>
      </c>
      <c r="P404" s="58">
        <v>11662183.280000001</v>
      </c>
      <c r="Q404" s="58">
        <v>0</v>
      </c>
      <c r="R404" s="30">
        <v>239757.36</v>
      </c>
      <c r="S404" s="30" t="s">
        <v>63</v>
      </c>
      <c r="T404" s="57" t="s">
        <v>33</v>
      </c>
      <c r="U404" s="31" t="e">
        <v>#N/A</v>
      </c>
      <c r="V404" s="57" t="s">
        <v>34</v>
      </c>
      <c r="Y404" t="e">
        <f>VLOOKUP(A404,[2]!PRGX[[#All],[Proveedor]],1,FALSE)</f>
        <v>#REF!</v>
      </c>
    </row>
    <row r="405" spans="1:25" x14ac:dyDescent="0.25">
      <c r="A405" s="25">
        <v>387977</v>
      </c>
      <c r="B405" s="25" t="s">
        <v>443</v>
      </c>
      <c r="C405" s="26">
        <v>2608</v>
      </c>
      <c r="D405" s="27">
        <v>306383097.92000002</v>
      </c>
      <c r="E405" s="27">
        <v>224187342.92000002</v>
      </c>
      <c r="F405" s="27">
        <v>82195755</v>
      </c>
      <c r="G405" s="27">
        <f>VLOOKUP(A405,'[1]saldos al 26May26'!$C$2:$I$1010,7,FALSE)</f>
        <v>-16109003.18</v>
      </c>
      <c r="H405" s="27"/>
      <c r="I405" s="28"/>
      <c r="J405" s="29">
        <v>637644.13641660812</v>
      </c>
      <c r="K405" s="25" t="s">
        <v>29</v>
      </c>
      <c r="L405" s="25" t="s">
        <v>30</v>
      </c>
      <c r="M405" s="25" t="s">
        <v>50</v>
      </c>
      <c r="N405" s="25" t="s">
        <v>87</v>
      </c>
      <c r="O405" t="s">
        <v>87</v>
      </c>
      <c r="P405" s="32">
        <v>-963799.91999999993</v>
      </c>
      <c r="Q405" s="30">
        <v>0</v>
      </c>
      <c r="R405" s="30"/>
      <c r="S405" s="30" t="s">
        <v>33</v>
      </c>
      <c r="T405" t="s">
        <v>33</v>
      </c>
      <c r="U405" s="31">
        <v>0</v>
      </c>
      <c r="V405" t="s">
        <v>42</v>
      </c>
      <c r="Y405" t="e">
        <f>VLOOKUP(A405,[2]!PRGX[[#All],[Proveedor]],1,FALSE)</f>
        <v>#REF!</v>
      </c>
    </row>
    <row r="406" spans="1:25" x14ac:dyDescent="0.25">
      <c r="A406" s="25">
        <v>191</v>
      </c>
      <c r="B406" s="25" t="s">
        <v>444</v>
      </c>
      <c r="C406" s="26">
        <v>43709</v>
      </c>
      <c r="D406" s="27">
        <v>306367665.67000002</v>
      </c>
      <c r="E406" s="27">
        <v>253290350.32000002</v>
      </c>
      <c r="F406" s="27">
        <v>53077315.350000001</v>
      </c>
      <c r="G406" s="27">
        <f>VLOOKUP(A406,'[1]saldos al 26May26'!$C$2:$I$1010,7,FALSE)</f>
        <v>-5959804.4500000002</v>
      </c>
      <c r="H406" s="27"/>
      <c r="I406" s="28"/>
      <c r="J406" s="29"/>
      <c r="K406" s="25" t="s">
        <v>29</v>
      </c>
      <c r="L406" s="25" t="s">
        <v>30</v>
      </c>
      <c r="M406" s="25" t="s">
        <v>50</v>
      </c>
      <c r="N406" s="25"/>
      <c r="O406" t="s">
        <v>96</v>
      </c>
      <c r="P406" s="30">
        <v>54781.5</v>
      </c>
      <c r="Q406" s="30">
        <v>1474060.4</v>
      </c>
      <c r="R406" s="30">
        <v>97440</v>
      </c>
      <c r="S406" s="30" t="s">
        <v>63</v>
      </c>
      <c r="T406" t="s">
        <v>33</v>
      </c>
      <c r="U406" s="31">
        <v>0</v>
      </c>
      <c r="V406" t="s">
        <v>42</v>
      </c>
      <c r="Y406" t="e">
        <f>VLOOKUP(A406,[2]!PRGX[[#All],[Proveedor]],1,FALSE)</f>
        <v>#REF!</v>
      </c>
    </row>
    <row r="407" spans="1:25" x14ac:dyDescent="0.25">
      <c r="A407" s="25">
        <v>98350</v>
      </c>
      <c r="B407" s="25" t="s">
        <v>445</v>
      </c>
      <c r="C407" s="26">
        <v>1415</v>
      </c>
      <c r="D407" s="27">
        <v>306057817.51700002</v>
      </c>
      <c r="E407" s="27">
        <v>279892716.45500004</v>
      </c>
      <c r="F407" s="27">
        <v>26165101.061999999</v>
      </c>
      <c r="G407" s="27">
        <f>VLOOKUP(A407,'[1]saldos al 26May26'!$C$2:$I$1010,7,FALSE)</f>
        <v>-612918.80000000005</v>
      </c>
      <c r="H407" s="27"/>
      <c r="I407" s="28"/>
      <c r="J407" s="29"/>
      <c r="K407" s="25" t="s">
        <v>29</v>
      </c>
      <c r="L407" s="25" t="s">
        <v>30</v>
      </c>
      <c r="M407" s="25" t="s">
        <v>59</v>
      </c>
      <c r="N407" s="25"/>
      <c r="O407" t="s">
        <v>80</v>
      </c>
      <c r="P407" s="32">
        <v>-27725360.100000001</v>
      </c>
      <c r="Q407" s="30">
        <v>274313.95</v>
      </c>
      <c r="R407" s="30"/>
      <c r="S407" s="30" t="s">
        <v>33</v>
      </c>
      <c r="T407" t="s">
        <v>33</v>
      </c>
      <c r="U407" s="31" t="s">
        <v>33</v>
      </c>
      <c r="V407" t="s">
        <v>33</v>
      </c>
      <c r="Y407" t="e">
        <f>VLOOKUP(A407,[2]!PRGX[[#All],[Proveedor]],1,FALSE)</f>
        <v>#REF!</v>
      </c>
    </row>
    <row r="408" spans="1:25" x14ac:dyDescent="0.25">
      <c r="A408" s="25">
        <v>1838</v>
      </c>
      <c r="B408" s="25" t="s">
        <v>446</v>
      </c>
      <c r="C408" s="26">
        <v>4365</v>
      </c>
      <c r="D408" s="27">
        <v>305715526.44</v>
      </c>
      <c r="E408" s="27">
        <v>251024948.44</v>
      </c>
      <c r="F408" s="27">
        <v>54690578</v>
      </c>
      <c r="G408" s="27">
        <f>VLOOKUP(A408,'[1]saldos al 26May26'!$C$2:$I$1010,7,FALSE)</f>
        <v>-9281744.6199999992</v>
      </c>
      <c r="H408" s="27"/>
      <c r="I408" s="28"/>
      <c r="J408" s="29"/>
      <c r="K408" s="25" t="s">
        <v>29</v>
      </c>
      <c r="L408" s="25" t="s">
        <v>30</v>
      </c>
      <c r="M408" s="25" t="s">
        <v>59</v>
      </c>
      <c r="N408" s="25"/>
      <c r="O408" t="s">
        <v>45</v>
      </c>
      <c r="P408" s="30">
        <v>1793712.6400000001</v>
      </c>
      <c r="Q408" s="30">
        <v>2137987.88</v>
      </c>
      <c r="R408" s="30">
        <v>117820.76</v>
      </c>
      <c r="S408" s="30">
        <v>0</v>
      </c>
      <c r="T408" t="s">
        <v>33</v>
      </c>
      <c r="U408" s="31" t="e">
        <v>#N/A</v>
      </c>
      <c r="V408" t="s">
        <v>34</v>
      </c>
      <c r="Y408" t="e">
        <f>VLOOKUP(A408,[2]!PRGX[[#All],[Proveedor]],1,FALSE)</f>
        <v>#REF!</v>
      </c>
    </row>
    <row r="409" spans="1:25" x14ac:dyDescent="0.25">
      <c r="A409" s="25">
        <v>25957</v>
      </c>
      <c r="B409" s="25" t="s">
        <v>447</v>
      </c>
      <c r="C409" s="26">
        <v>92120</v>
      </c>
      <c r="D409" s="27">
        <v>303451111.73000002</v>
      </c>
      <c r="E409" s="27">
        <v>271763689.68000001</v>
      </c>
      <c r="F409" s="27">
        <v>31687422.050000001</v>
      </c>
      <c r="G409" s="27">
        <f>VLOOKUP(A409,'[1]saldos al 26May26'!$C$2:$I$1010,7,FALSE)</f>
        <v>-2150107.9900000002</v>
      </c>
      <c r="H409" s="27"/>
      <c r="I409" s="28"/>
      <c r="J409" s="29"/>
      <c r="K409" s="25" t="s">
        <v>29</v>
      </c>
      <c r="L409" s="25" t="s">
        <v>30</v>
      </c>
      <c r="M409" s="25" t="s">
        <v>31</v>
      </c>
      <c r="N409" s="25"/>
      <c r="O409" t="s">
        <v>36</v>
      </c>
      <c r="P409" s="32">
        <v>-2293177.2999999998</v>
      </c>
      <c r="Q409" s="30">
        <v>26152.2</v>
      </c>
      <c r="R409" s="30">
        <v>40797.42</v>
      </c>
      <c r="S409" s="30" t="s">
        <v>63</v>
      </c>
      <c r="T409" t="s">
        <v>33</v>
      </c>
      <c r="U409" s="31">
        <v>0</v>
      </c>
      <c r="V409" t="s">
        <v>42</v>
      </c>
      <c r="Y409" t="e">
        <f>VLOOKUP(A409,[2]!PRGX[[#All],[Proveedor]],1,FALSE)</f>
        <v>#REF!</v>
      </c>
    </row>
    <row r="410" spans="1:25" x14ac:dyDescent="0.25">
      <c r="A410" s="25">
        <v>34140</v>
      </c>
      <c r="B410" s="25" t="s">
        <v>448</v>
      </c>
      <c r="C410" s="26">
        <v>12063</v>
      </c>
      <c r="D410" s="27">
        <v>301523307.63</v>
      </c>
      <c r="E410" s="27">
        <v>237465223.09999999</v>
      </c>
      <c r="F410" s="27">
        <v>64058084.530000001</v>
      </c>
      <c r="G410" s="27">
        <f>VLOOKUP(A410,'[1]saldos al 26May26'!$C$2:$I$1010,7,FALSE)</f>
        <v>-7020662.5999999996</v>
      </c>
      <c r="H410" s="27"/>
      <c r="I410" s="28"/>
      <c r="J410" s="29">
        <v>43024.977500000001</v>
      </c>
      <c r="K410" s="25" t="s">
        <v>40</v>
      </c>
      <c r="L410" s="25" t="s">
        <v>30</v>
      </c>
      <c r="M410" s="25" t="s">
        <v>55</v>
      </c>
      <c r="N410" s="25" t="s">
        <v>41</v>
      </c>
      <c r="O410" s="43" t="s">
        <v>41</v>
      </c>
      <c r="P410" s="32">
        <v>-350520.73</v>
      </c>
      <c r="Q410" s="30">
        <v>276694.90999999997</v>
      </c>
      <c r="R410" s="30">
        <v>64000</v>
      </c>
      <c r="S410" s="30" t="e">
        <v>#N/A</v>
      </c>
      <c r="T410" t="s">
        <v>34</v>
      </c>
      <c r="U410" s="31" t="e">
        <v>#N/A</v>
      </c>
      <c r="V410" t="s">
        <v>34</v>
      </c>
      <c r="Y410" t="e">
        <f>VLOOKUP(A410,[2]!PRGX[[#All],[Proveedor]],1,FALSE)</f>
        <v>#REF!</v>
      </c>
    </row>
    <row r="411" spans="1:25" x14ac:dyDescent="0.25">
      <c r="A411" s="25">
        <v>21157</v>
      </c>
      <c r="B411" s="25" t="s">
        <v>449</v>
      </c>
      <c r="C411" s="26">
        <v>707</v>
      </c>
      <c r="D411" s="27">
        <v>298162743.27999997</v>
      </c>
      <c r="E411" s="27">
        <v>228293925.65999997</v>
      </c>
      <c r="F411" s="27">
        <v>69868817.620000005</v>
      </c>
      <c r="G411" s="27">
        <f>VLOOKUP(A411,'[1]saldos al 26May26'!$C$2:$I$1010,7,FALSE)</f>
        <v>-20346273.969999999</v>
      </c>
      <c r="H411" s="27"/>
      <c r="I411" s="28"/>
      <c r="J411" s="29"/>
      <c r="K411" s="25" t="s">
        <v>29</v>
      </c>
      <c r="L411" s="25" t="s">
        <v>30</v>
      </c>
      <c r="M411" s="25" t="s">
        <v>55</v>
      </c>
      <c r="N411" s="25"/>
      <c r="O411" t="s">
        <v>80</v>
      </c>
      <c r="P411" s="32">
        <v>-2591480.9499999997</v>
      </c>
      <c r="Q411" s="30">
        <v>0</v>
      </c>
      <c r="R411" s="30"/>
      <c r="S411" s="30" t="s">
        <v>63</v>
      </c>
      <c r="T411" t="s">
        <v>33</v>
      </c>
      <c r="U411" s="31" t="e">
        <v>#N/A</v>
      </c>
      <c r="V411" t="s">
        <v>34</v>
      </c>
      <c r="Y411" t="e">
        <f>VLOOKUP(A411,[2]!PRGX[[#All],[Proveedor]],1,FALSE)</f>
        <v>#REF!</v>
      </c>
    </row>
    <row r="412" spans="1:25" x14ac:dyDescent="0.25">
      <c r="A412" s="25">
        <v>310102</v>
      </c>
      <c r="B412" s="25" t="s">
        <v>450</v>
      </c>
      <c r="C412" s="26">
        <v>12435</v>
      </c>
      <c r="D412" s="27">
        <v>297876020.76999998</v>
      </c>
      <c r="E412" s="27">
        <v>270761514.56999999</v>
      </c>
      <c r="F412" s="27">
        <v>27114506.199999999</v>
      </c>
      <c r="G412" s="27">
        <f>VLOOKUP(A412,'[1]saldos al 26May26'!$C$2:$I$1010,7,FALSE)</f>
        <v>-5729929.0199999996</v>
      </c>
      <c r="H412" s="27"/>
      <c r="I412" s="28"/>
      <c r="J412" s="29"/>
      <c r="K412" s="25" t="s">
        <v>29</v>
      </c>
      <c r="L412" s="25" t="s">
        <v>30</v>
      </c>
      <c r="M412" s="25" t="s">
        <v>59</v>
      </c>
      <c r="N412" s="25"/>
      <c r="O412" t="s">
        <v>32</v>
      </c>
      <c r="P412" s="32">
        <v>-1998736.3000000003</v>
      </c>
      <c r="Q412" s="30">
        <v>0</v>
      </c>
      <c r="R412" s="30">
        <v>347393</v>
      </c>
      <c r="S412" s="30" t="s">
        <v>63</v>
      </c>
      <c r="T412" t="s">
        <v>33</v>
      </c>
      <c r="U412" s="31" t="s">
        <v>33</v>
      </c>
      <c r="V412" t="s">
        <v>33</v>
      </c>
      <c r="Y412" t="e">
        <f>VLOOKUP(A412,[2]!PRGX[[#All],[Proveedor]],1,FALSE)</f>
        <v>#REF!</v>
      </c>
    </row>
    <row r="413" spans="1:25" x14ac:dyDescent="0.25">
      <c r="A413" s="25">
        <v>594</v>
      </c>
      <c r="B413" s="25" t="s">
        <v>451</v>
      </c>
      <c r="C413" s="26">
        <v>1215</v>
      </c>
      <c r="D413" s="27">
        <v>297851934.19870001</v>
      </c>
      <c r="E413" s="27">
        <v>206493248.44280002</v>
      </c>
      <c r="F413" s="27">
        <v>91358685.755899996</v>
      </c>
      <c r="G413" s="27">
        <f>VLOOKUP(A413,'[1]saldos al 26May26'!$C$2:$I$1010,7,FALSE)</f>
        <v>-22008306.629999999</v>
      </c>
      <c r="H413" s="27"/>
      <c r="I413" s="28"/>
      <c r="J413" s="29"/>
      <c r="K413" s="25" t="s">
        <v>29</v>
      </c>
      <c r="L413" s="25" t="s">
        <v>30</v>
      </c>
      <c r="M413" s="25" t="s">
        <v>59</v>
      </c>
      <c r="N413" s="25"/>
      <c r="O413" t="s">
        <v>45</v>
      </c>
      <c r="P413" s="32">
        <v>-1379705.9100000001</v>
      </c>
      <c r="Q413" s="30">
        <v>0</v>
      </c>
      <c r="R413" s="30"/>
      <c r="S413" s="30">
        <v>0</v>
      </c>
      <c r="T413" t="s">
        <v>33</v>
      </c>
      <c r="U413" s="31" t="e">
        <v>#N/A</v>
      </c>
      <c r="V413" t="s">
        <v>34</v>
      </c>
      <c r="Y413" t="e">
        <f>VLOOKUP(A413,[2]!PRGX[[#All],[Proveedor]],1,FALSE)</f>
        <v>#REF!</v>
      </c>
    </row>
    <row r="414" spans="1:25" x14ac:dyDescent="0.25">
      <c r="A414" s="25">
        <v>386722</v>
      </c>
      <c r="B414" s="25" t="s">
        <v>452</v>
      </c>
      <c r="C414" s="26">
        <v>22341</v>
      </c>
      <c r="D414" s="27">
        <v>296796333.54000002</v>
      </c>
      <c r="E414" s="27">
        <v>263539941.42000002</v>
      </c>
      <c r="F414" s="27">
        <v>33256392.120000001</v>
      </c>
      <c r="G414" s="27">
        <f>VLOOKUP(A414,'[1]saldos al 26May26'!$C$2:$I$1010,7,FALSE)</f>
        <v>-4764502.38</v>
      </c>
      <c r="H414" s="27"/>
      <c r="I414" s="28"/>
      <c r="J414" s="29"/>
      <c r="K414" s="25" t="s">
        <v>29</v>
      </c>
      <c r="L414" s="25" t="s">
        <v>30</v>
      </c>
      <c r="M414" s="25" t="s">
        <v>59</v>
      </c>
      <c r="N414" s="25"/>
      <c r="O414" t="s">
        <v>67</v>
      </c>
      <c r="P414" s="30">
        <v>24730439.870000001</v>
      </c>
      <c r="Q414" s="30">
        <v>26737.32</v>
      </c>
      <c r="R414" s="30"/>
      <c r="S414" s="30" t="s">
        <v>33</v>
      </c>
      <c r="T414" t="s">
        <v>33</v>
      </c>
      <c r="U414" s="31" t="e">
        <v>#N/A</v>
      </c>
      <c r="V414" t="s">
        <v>34</v>
      </c>
      <c r="Y414" t="e">
        <f>VLOOKUP(A414,[2]!PRGX[[#All],[Proveedor]],1,FALSE)</f>
        <v>#REF!</v>
      </c>
    </row>
    <row r="415" spans="1:25" x14ac:dyDescent="0.25">
      <c r="A415" s="25">
        <v>14293</v>
      </c>
      <c r="B415" s="25" t="s">
        <v>453</v>
      </c>
      <c r="C415" s="26">
        <v>2212</v>
      </c>
      <c r="D415" s="27">
        <v>296782470</v>
      </c>
      <c r="E415" s="27">
        <v>219520350</v>
      </c>
      <c r="F415" s="27">
        <v>77262120</v>
      </c>
      <c r="G415" s="27">
        <f>VLOOKUP(A415,'[1]saldos al 26May26'!$C$2:$I$1010,7,FALSE)</f>
        <v>-18673947.899999999</v>
      </c>
      <c r="H415" s="27"/>
      <c r="I415" s="28"/>
      <c r="J415" s="29"/>
      <c r="K415" s="25" t="s">
        <v>29</v>
      </c>
      <c r="L415" s="25" t="s">
        <v>30</v>
      </c>
      <c r="M415" s="25" t="s">
        <v>59</v>
      </c>
      <c r="N415" s="25"/>
      <c r="O415" t="s">
        <v>96</v>
      </c>
      <c r="P415" s="32">
        <v>-154982.92000000001</v>
      </c>
      <c r="Q415" s="30">
        <v>0</v>
      </c>
      <c r="R415" s="30"/>
      <c r="S415" s="30">
        <v>0</v>
      </c>
      <c r="T415" t="s">
        <v>33</v>
      </c>
      <c r="U415" s="31" t="e">
        <v>#N/A</v>
      </c>
      <c r="V415" t="s">
        <v>34</v>
      </c>
      <c r="Y415" t="e">
        <f>VLOOKUP(A415,[2]!PRGX[[#All],[Proveedor]],1,FALSE)</f>
        <v>#REF!</v>
      </c>
    </row>
    <row r="416" spans="1:25" x14ac:dyDescent="0.25">
      <c r="A416" s="25">
        <v>45401</v>
      </c>
      <c r="B416" s="25" t="s">
        <v>454</v>
      </c>
      <c r="C416" s="26">
        <v>2601</v>
      </c>
      <c r="D416" s="27">
        <v>294265680</v>
      </c>
      <c r="E416" s="27">
        <v>278083344</v>
      </c>
      <c r="F416" s="27">
        <v>16182336</v>
      </c>
      <c r="G416" s="27">
        <f>VLOOKUP(A416,'[1]saldos al 26May26'!$C$2:$I$1010,7,FALSE)</f>
        <v>-7928708.04</v>
      </c>
      <c r="H416" s="27"/>
      <c r="I416" s="28"/>
      <c r="J416" s="29"/>
      <c r="K416" s="25" t="s">
        <v>29</v>
      </c>
      <c r="L416" s="25" t="s">
        <v>30</v>
      </c>
      <c r="M416" s="25" t="s">
        <v>55</v>
      </c>
      <c r="N416" s="25"/>
      <c r="O416" t="s">
        <v>51</v>
      </c>
      <c r="P416" s="32">
        <v>-4332274.2299999995</v>
      </c>
      <c r="Q416" s="30">
        <v>0</v>
      </c>
      <c r="R416" s="30"/>
      <c r="S416" s="30" t="s">
        <v>63</v>
      </c>
      <c r="T416" t="s">
        <v>33</v>
      </c>
      <c r="U416" s="31" t="e">
        <v>#N/A</v>
      </c>
      <c r="V416" t="s">
        <v>34</v>
      </c>
      <c r="Y416" t="e">
        <f>VLOOKUP(A416,[2]!PRGX[[#All],[Proveedor]],1,FALSE)</f>
        <v>#REF!</v>
      </c>
    </row>
    <row r="417" spans="1:25" x14ac:dyDescent="0.25">
      <c r="A417" s="25">
        <v>373852</v>
      </c>
      <c r="B417" s="25" t="s">
        <v>455</v>
      </c>
      <c r="C417" s="26">
        <v>8185</v>
      </c>
      <c r="D417" s="27">
        <v>293977349.89999998</v>
      </c>
      <c r="E417" s="27">
        <v>276477077.77899998</v>
      </c>
      <c r="F417" s="27">
        <v>17500272.120999999</v>
      </c>
      <c r="G417" s="27">
        <f>VLOOKUP(A417,'[1]saldos al 26May26'!$C$2:$I$1010,7,FALSE)</f>
        <v>-940045.46</v>
      </c>
      <c r="H417" s="27"/>
      <c r="I417" s="28"/>
      <c r="J417" s="29"/>
      <c r="K417" s="25" t="s">
        <v>29</v>
      </c>
      <c r="L417" s="25" t="s">
        <v>30</v>
      </c>
      <c r="M417" s="25" t="s">
        <v>59</v>
      </c>
      <c r="N417" s="25"/>
      <c r="O417" t="s">
        <v>67</v>
      </c>
      <c r="P417" s="30">
        <v>116648.16</v>
      </c>
      <c r="Q417" s="30">
        <v>312274.40000000002</v>
      </c>
      <c r="R417" s="30"/>
      <c r="S417" s="30">
        <v>0</v>
      </c>
      <c r="T417" t="s">
        <v>33</v>
      </c>
      <c r="U417" s="31" t="e">
        <v>#N/A</v>
      </c>
      <c r="V417" t="s">
        <v>34</v>
      </c>
      <c r="Y417" t="e">
        <f>VLOOKUP(A417,[2]!PRGX[[#All],[Proveedor]],1,FALSE)</f>
        <v>#REF!</v>
      </c>
    </row>
    <row r="418" spans="1:25" x14ac:dyDescent="0.25">
      <c r="A418" s="25">
        <v>315564</v>
      </c>
      <c r="B418" s="25" t="s">
        <v>456</v>
      </c>
      <c r="C418" s="26">
        <v>585824</v>
      </c>
      <c r="D418" s="27">
        <v>292746121.44690001</v>
      </c>
      <c r="E418" s="27">
        <v>217250283.06690001</v>
      </c>
      <c r="F418" s="27">
        <v>75495838.379999995</v>
      </c>
      <c r="G418" s="27">
        <f>VLOOKUP(A418,'[1]saldos al 26May26'!$C$2:$I$1010,7,FALSE)</f>
        <v>-9216509.6600000001</v>
      </c>
      <c r="H418" s="27"/>
      <c r="I418" s="28"/>
      <c r="J418" s="29">
        <v>242316.7419907125</v>
      </c>
      <c r="K418" s="25" t="s">
        <v>40</v>
      </c>
      <c r="L418" s="25" t="s">
        <v>30</v>
      </c>
      <c r="M418" s="25" t="s">
        <v>31</v>
      </c>
      <c r="N418" s="25" t="s">
        <v>45</v>
      </c>
      <c r="O418" t="s">
        <v>45</v>
      </c>
      <c r="P418" s="32">
        <v>-650262.51</v>
      </c>
      <c r="Q418" s="30">
        <v>-3306.9</v>
      </c>
      <c r="R418" s="30">
        <v>166770</v>
      </c>
      <c r="S418" s="30" t="e">
        <v>#N/A</v>
      </c>
      <c r="T418" t="s">
        <v>34</v>
      </c>
      <c r="U418" s="31" t="e">
        <v>#N/A</v>
      </c>
      <c r="V418" t="s">
        <v>34</v>
      </c>
      <c r="Y418" t="e">
        <f>VLOOKUP(A418,[2]!PRGX[[#All],[Proveedor]],1,FALSE)</f>
        <v>#REF!</v>
      </c>
    </row>
    <row r="419" spans="1:25" x14ac:dyDescent="0.25">
      <c r="A419" s="25">
        <v>302786</v>
      </c>
      <c r="B419" s="25" t="s">
        <v>457</v>
      </c>
      <c r="C419" s="26">
        <v>82005</v>
      </c>
      <c r="D419" s="27">
        <v>290806517.22000003</v>
      </c>
      <c r="E419" s="27">
        <v>246262269.23000002</v>
      </c>
      <c r="F419" s="27">
        <v>44544247.990000002</v>
      </c>
      <c r="G419" s="27">
        <f>VLOOKUP(A419,'[1]saldos al 26May26'!$C$2:$I$1010,7,FALSE)</f>
        <v>-14258585.33</v>
      </c>
      <c r="H419" s="27"/>
      <c r="I419" s="28"/>
      <c r="J419" s="29"/>
      <c r="K419" s="25" t="s">
        <v>29</v>
      </c>
      <c r="L419" s="25" t="s">
        <v>30</v>
      </c>
      <c r="M419" s="25" t="s">
        <v>55</v>
      </c>
      <c r="N419" s="25"/>
      <c r="O419" t="s">
        <v>67</v>
      </c>
      <c r="P419" s="32">
        <v>-71230.69</v>
      </c>
      <c r="Q419" s="30">
        <v>4684276.9800000004</v>
      </c>
      <c r="R419" s="30">
        <v>4089.95</v>
      </c>
      <c r="S419" s="30" t="s">
        <v>63</v>
      </c>
      <c r="T419" t="s">
        <v>33</v>
      </c>
      <c r="U419" s="31" t="e">
        <v>#N/A</v>
      </c>
      <c r="V419" t="s">
        <v>34</v>
      </c>
      <c r="Y419" t="e">
        <f>VLOOKUP(A419,[2]!PRGX[[#All],[Proveedor]],1,FALSE)</f>
        <v>#REF!</v>
      </c>
    </row>
    <row r="420" spans="1:25" x14ac:dyDescent="0.25">
      <c r="A420" s="25">
        <v>316877</v>
      </c>
      <c r="B420" s="25" t="s">
        <v>458</v>
      </c>
      <c r="C420" s="26">
        <v>34643</v>
      </c>
      <c r="D420" s="27">
        <v>290622601.44999999</v>
      </c>
      <c r="E420" s="27">
        <v>247477532.10999998</v>
      </c>
      <c r="F420" s="27">
        <v>43145069.340000004</v>
      </c>
      <c r="G420" s="27">
        <f>VLOOKUP(A420,'[1]saldos al 26May26'!$C$2:$I$1010,7,FALSE)</f>
        <v>-27956592.59</v>
      </c>
      <c r="H420" s="27"/>
      <c r="I420" s="28"/>
      <c r="J420" s="29"/>
      <c r="K420" s="25" t="s">
        <v>29</v>
      </c>
      <c r="L420" s="25" t="s">
        <v>30</v>
      </c>
      <c r="M420" s="25" t="s">
        <v>50</v>
      </c>
      <c r="N420" s="25"/>
      <c r="O420" t="s">
        <v>36</v>
      </c>
      <c r="P420" s="32">
        <v>-23198.400000000001</v>
      </c>
      <c r="Q420" s="30">
        <v>235704.54</v>
      </c>
      <c r="R420" s="30"/>
      <c r="S420" s="30" t="s">
        <v>33</v>
      </c>
      <c r="T420" t="s">
        <v>33</v>
      </c>
      <c r="U420" s="31">
        <v>0</v>
      </c>
      <c r="V420" t="s">
        <v>42</v>
      </c>
      <c r="Y420" t="e">
        <f>VLOOKUP(A420,[2]!PRGX[[#All],[Proveedor]],1,FALSE)</f>
        <v>#REF!</v>
      </c>
    </row>
    <row r="421" spans="1:25" x14ac:dyDescent="0.25">
      <c r="A421" s="25">
        <v>221226</v>
      </c>
      <c r="B421" s="25" t="s">
        <v>459</v>
      </c>
      <c r="C421" s="26">
        <v>80266</v>
      </c>
      <c r="D421" s="27">
        <v>287771824.986</v>
      </c>
      <c r="E421" s="27">
        <v>264169122.45809999</v>
      </c>
      <c r="F421" s="27">
        <v>23602702.527899999</v>
      </c>
      <c r="G421" s="27">
        <f>VLOOKUP(A421,'[1]saldos al 26May26'!$C$2:$I$1010,7,FALSE)</f>
        <v>-854768.79</v>
      </c>
      <c r="H421" s="27"/>
      <c r="I421" s="28"/>
      <c r="J421" s="29"/>
      <c r="K421" s="25" t="s">
        <v>29</v>
      </c>
      <c r="L421" s="25" t="s">
        <v>30</v>
      </c>
      <c r="M421" s="25" t="s">
        <v>31</v>
      </c>
      <c r="N421" s="25"/>
      <c r="O421" t="s">
        <v>67</v>
      </c>
      <c r="P421" s="30">
        <v>963346.87000000023</v>
      </c>
      <c r="Q421" s="30">
        <v>101593.49</v>
      </c>
      <c r="R421" s="30"/>
      <c r="S421" s="30">
        <v>0</v>
      </c>
      <c r="T421" t="s">
        <v>33</v>
      </c>
      <c r="U421" s="31">
        <v>0</v>
      </c>
      <c r="V421" t="s">
        <v>42</v>
      </c>
      <c r="Y421" t="e">
        <f>VLOOKUP(A421,[2]!PRGX[[#All],[Proveedor]],1,FALSE)</f>
        <v>#REF!</v>
      </c>
    </row>
    <row r="422" spans="1:25" x14ac:dyDescent="0.25">
      <c r="A422" s="25">
        <v>308403</v>
      </c>
      <c r="B422" s="25" t="s">
        <v>460</v>
      </c>
      <c r="C422" s="26">
        <v>60692</v>
      </c>
      <c r="D422" s="27">
        <v>286495197.94849998</v>
      </c>
      <c r="E422" s="27">
        <v>211447644.04749998</v>
      </c>
      <c r="F422" s="27">
        <v>75047553.900999993</v>
      </c>
      <c r="G422" s="27">
        <f>VLOOKUP(A422,'[1]saldos al 26May26'!$C$2:$I$1010,7,FALSE)</f>
        <v>-4921132.4000000004</v>
      </c>
      <c r="H422" s="27"/>
      <c r="I422" s="28"/>
      <c r="J422" s="29"/>
      <c r="K422" s="25" t="s">
        <v>29</v>
      </c>
      <c r="L422" s="25" t="s">
        <v>30</v>
      </c>
      <c r="M422" s="25" t="s">
        <v>59</v>
      </c>
      <c r="N422" s="25"/>
      <c r="O422" s="43" t="s">
        <v>41</v>
      </c>
      <c r="P422" s="30">
        <v>472815.43</v>
      </c>
      <c r="Q422" s="30">
        <v>1084723.54</v>
      </c>
      <c r="R422" s="30"/>
      <c r="S422" s="30" t="s">
        <v>33</v>
      </c>
      <c r="T422" t="s">
        <v>33</v>
      </c>
      <c r="U422" s="31" t="e">
        <v>#N/A</v>
      </c>
      <c r="V422" t="s">
        <v>34</v>
      </c>
      <c r="Y422" t="e">
        <f>VLOOKUP(A422,[2]!PRGX[[#All],[Proveedor]],1,FALSE)</f>
        <v>#REF!</v>
      </c>
    </row>
    <row r="423" spans="1:25" x14ac:dyDescent="0.25">
      <c r="A423" s="25">
        <v>68825</v>
      </c>
      <c r="B423" s="25" t="s">
        <v>461</v>
      </c>
      <c r="C423" s="26">
        <v>47998</v>
      </c>
      <c r="D423" s="27">
        <v>284786041.33999997</v>
      </c>
      <c r="E423" s="27">
        <v>227218371.50799996</v>
      </c>
      <c r="F423" s="27">
        <v>57567669.832000002</v>
      </c>
      <c r="G423" s="27">
        <f>VLOOKUP(A423,'[1]saldos al 26May26'!$C$2:$I$1010,7,FALSE)</f>
        <v>-5800107.3700000001</v>
      </c>
      <c r="H423" s="27"/>
      <c r="I423" s="28"/>
      <c r="J423" s="29"/>
      <c r="K423" s="25" t="s">
        <v>29</v>
      </c>
      <c r="L423" s="25" t="s">
        <v>30</v>
      </c>
      <c r="M423" s="25" t="s">
        <v>59</v>
      </c>
      <c r="N423" s="25"/>
      <c r="O423" t="s">
        <v>80</v>
      </c>
      <c r="P423" s="32">
        <v>-1799949.1300000001</v>
      </c>
      <c r="Q423" s="30">
        <v>-820.5</v>
      </c>
      <c r="R423" s="30"/>
      <c r="S423" s="30" t="s">
        <v>33</v>
      </c>
      <c r="T423" t="s">
        <v>33</v>
      </c>
      <c r="U423" s="31" t="e">
        <v>#N/A</v>
      </c>
      <c r="V423" t="s">
        <v>34</v>
      </c>
      <c r="Y423" t="e">
        <f>VLOOKUP(A423,[2]!PRGX[[#All],[Proveedor]],1,FALSE)</f>
        <v>#REF!</v>
      </c>
    </row>
    <row r="424" spans="1:25" x14ac:dyDescent="0.25">
      <c r="A424" s="25">
        <v>386037</v>
      </c>
      <c r="B424" s="25" t="s">
        <v>462</v>
      </c>
      <c r="C424" s="26">
        <v>77640</v>
      </c>
      <c r="D424" s="27">
        <v>283624580.85000002</v>
      </c>
      <c r="E424" s="27">
        <v>231040058.13000003</v>
      </c>
      <c r="F424" s="27">
        <v>52584522.719999999</v>
      </c>
      <c r="G424" s="27">
        <f>VLOOKUP(A424,'[1]saldos al 26May26'!$C$2:$I$1010,7,FALSE)</f>
        <v>-710681.33</v>
      </c>
      <c r="H424" s="27"/>
      <c r="I424" s="28"/>
      <c r="J424" s="29"/>
      <c r="K424" s="25" t="s">
        <v>29</v>
      </c>
      <c r="L424" s="25" t="s">
        <v>30</v>
      </c>
      <c r="M424" s="25" t="s">
        <v>59</v>
      </c>
      <c r="N424" s="25"/>
      <c r="O424" t="s">
        <v>70</v>
      </c>
      <c r="P424" s="32">
        <v>-690210.89999999991</v>
      </c>
      <c r="Q424" s="30">
        <v>-137215.71</v>
      </c>
      <c r="R424" s="30">
        <v>47509</v>
      </c>
      <c r="S424" s="30" t="s">
        <v>63</v>
      </c>
      <c r="T424" t="s">
        <v>33</v>
      </c>
      <c r="U424" s="31" t="s">
        <v>33</v>
      </c>
      <c r="V424" t="s">
        <v>33</v>
      </c>
      <c r="Y424" t="e">
        <f>VLOOKUP(A424,[2]!PRGX[[#All],[Proveedor]],1,FALSE)</f>
        <v>#REF!</v>
      </c>
    </row>
    <row r="425" spans="1:25" x14ac:dyDescent="0.25">
      <c r="A425" s="25">
        <v>326439</v>
      </c>
      <c r="B425" s="25" t="s">
        <v>463</v>
      </c>
      <c r="C425" s="26">
        <v>46861</v>
      </c>
      <c r="D425" s="27">
        <v>283422380.15149999</v>
      </c>
      <c r="E425" s="27">
        <v>230712875.99419999</v>
      </c>
      <c r="F425" s="27">
        <v>52709504.157300003</v>
      </c>
      <c r="G425" s="27">
        <f>VLOOKUP(A425,'[1]saldos al 26May26'!$C$2:$I$1010,7,FALSE)</f>
        <v>-8616739.9600000009</v>
      </c>
      <c r="H425" s="27"/>
      <c r="I425" s="28"/>
      <c r="J425" s="29"/>
      <c r="K425" s="25" t="s">
        <v>40</v>
      </c>
      <c r="L425" s="25" t="s">
        <v>30</v>
      </c>
      <c r="M425" s="25" t="s">
        <v>55</v>
      </c>
      <c r="N425" s="25" t="s">
        <v>87</v>
      </c>
      <c r="O425" t="s">
        <v>87</v>
      </c>
      <c r="P425" s="32">
        <v>-438080.78</v>
      </c>
      <c r="Q425" s="30">
        <v>51817.4</v>
      </c>
      <c r="R425" s="30"/>
      <c r="S425" s="30" t="s">
        <v>33</v>
      </c>
      <c r="T425" t="s">
        <v>33</v>
      </c>
      <c r="U425" s="31" t="e">
        <v>#N/A</v>
      </c>
      <c r="V425" t="s">
        <v>34</v>
      </c>
      <c r="Y425" t="e">
        <f>VLOOKUP(A425,[2]!PRGX[[#All],[Proveedor]],1,FALSE)</f>
        <v>#REF!</v>
      </c>
    </row>
    <row r="426" spans="1:25" x14ac:dyDescent="0.25">
      <c r="A426" s="25">
        <v>3770</v>
      </c>
      <c r="B426" s="25" t="s">
        <v>464</v>
      </c>
      <c r="C426" s="26">
        <v>11177</v>
      </c>
      <c r="D426" s="27">
        <v>282985680.51999998</v>
      </c>
      <c r="E426" s="27">
        <v>259133001.01999998</v>
      </c>
      <c r="F426" s="27">
        <v>23852679.5</v>
      </c>
      <c r="G426" s="27">
        <f>VLOOKUP(A426,'[1]saldos al 26May26'!$C$2:$I$1010,7,FALSE)</f>
        <v>-3152376.11</v>
      </c>
      <c r="H426" s="27"/>
      <c r="I426" s="28"/>
      <c r="J426" s="29"/>
      <c r="K426" s="25" t="s">
        <v>29</v>
      </c>
      <c r="L426" s="25" t="s">
        <v>30</v>
      </c>
      <c r="M426" s="25" t="s">
        <v>59</v>
      </c>
      <c r="N426" s="25"/>
      <c r="O426" t="s">
        <v>96</v>
      </c>
      <c r="P426" s="32">
        <v>-593403.55999999994</v>
      </c>
      <c r="Q426" s="30">
        <v>9240</v>
      </c>
      <c r="R426" s="30"/>
      <c r="S426" s="30">
        <v>0</v>
      </c>
      <c r="T426" t="s">
        <v>33</v>
      </c>
      <c r="U426" s="31" t="e">
        <v>#N/A</v>
      </c>
      <c r="V426" t="s">
        <v>34</v>
      </c>
      <c r="Y426" t="e">
        <f>VLOOKUP(A426,[2]!PRGX[[#All],[Proveedor]],1,FALSE)</f>
        <v>#REF!</v>
      </c>
    </row>
    <row r="427" spans="1:25" x14ac:dyDescent="0.25">
      <c r="A427" s="25">
        <v>943</v>
      </c>
      <c r="B427" s="25" t="s">
        <v>465</v>
      </c>
      <c r="C427" s="26">
        <v>74606</v>
      </c>
      <c r="D427" s="27">
        <v>282182093.00999999</v>
      </c>
      <c r="E427" s="27">
        <v>228154095.07999998</v>
      </c>
      <c r="F427" s="27">
        <v>54027997.93</v>
      </c>
      <c r="G427" s="27">
        <f>VLOOKUP(A427,'[1]saldos al 26May26'!$C$2:$I$1010,7,FALSE)</f>
        <v>-16793717.370000001</v>
      </c>
      <c r="H427" s="27"/>
      <c r="I427" s="28"/>
      <c r="J427" s="29"/>
      <c r="K427" s="25" t="s">
        <v>29</v>
      </c>
      <c r="L427" s="25" t="s">
        <v>30</v>
      </c>
      <c r="M427" s="25" t="s">
        <v>59</v>
      </c>
      <c r="N427" s="25"/>
      <c r="O427" t="s">
        <v>96</v>
      </c>
      <c r="P427" s="32">
        <v>-660018.92999999993</v>
      </c>
      <c r="Q427" s="30">
        <v>749800.58</v>
      </c>
      <c r="R427" s="30">
        <v>1132145</v>
      </c>
      <c r="S427" s="30" t="s">
        <v>63</v>
      </c>
      <c r="T427" t="s">
        <v>33</v>
      </c>
      <c r="U427" s="31" t="e">
        <v>#N/A</v>
      </c>
      <c r="V427" t="s">
        <v>34</v>
      </c>
      <c r="W427" s="42"/>
      <c r="Y427" t="e">
        <f>VLOOKUP(A427,[2]!PRGX[[#All],[Proveedor]],1,FALSE)</f>
        <v>#REF!</v>
      </c>
    </row>
    <row r="428" spans="1:25" x14ac:dyDescent="0.25">
      <c r="A428" s="25">
        <v>6346</v>
      </c>
      <c r="B428" s="25" t="s">
        <v>466</v>
      </c>
      <c r="C428" s="26">
        <v>2515</v>
      </c>
      <c r="D428" s="27">
        <v>280539778.08999997</v>
      </c>
      <c r="E428" s="27">
        <v>214289924.52999997</v>
      </c>
      <c r="F428" s="27">
        <v>66249853.560000002</v>
      </c>
      <c r="G428" s="27">
        <f>VLOOKUP(A428,'[1]saldos al 26May26'!$C$2:$I$1010,7,FALSE)</f>
        <v>-17630835.68</v>
      </c>
      <c r="H428" s="27"/>
      <c r="I428" s="28"/>
      <c r="J428" s="29"/>
      <c r="K428" s="25" t="s">
        <v>29</v>
      </c>
      <c r="L428" s="25" t="s">
        <v>30</v>
      </c>
      <c r="M428" s="25" t="s">
        <v>31</v>
      </c>
      <c r="N428" s="25"/>
      <c r="O428" t="s">
        <v>51</v>
      </c>
      <c r="P428" s="32">
        <v>-162942.87999999998</v>
      </c>
      <c r="Q428" s="30">
        <v>518767.31</v>
      </c>
      <c r="R428" s="30"/>
      <c r="S428" s="30" t="s">
        <v>63</v>
      </c>
      <c r="T428" t="s">
        <v>33</v>
      </c>
      <c r="U428" s="31">
        <v>0</v>
      </c>
      <c r="V428" t="s">
        <v>42</v>
      </c>
      <c r="Y428" t="e">
        <f>VLOOKUP(A428,[2]!PRGX[[#All],[Proveedor]],1,FALSE)</f>
        <v>#REF!</v>
      </c>
    </row>
    <row r="429" spans="1:25" x14ac:dyDescent="0.25">
      <c r="A429" s="25">
        <v>11178</v>
      </c>
      <c r="B429" s="25" t="s">
        <v>467</v>
      </c>
      <c r="C429" s="26">
        <v>121535</v>
      </c>
      <c r="D429" s="27">
        <v>280412852.24089998</v>
      </c>
      <c r="E429" s="27">
        <v>252237130.17159998</v>
      </c>
      <c r="F429" s="27">
        <v>28175722.0693</v>
      </c>
      <c r="G429" s="27">
        <f>VLOOKUP(A429,'[1]saldos al 26May26'!$C$2:$I$1010,7,FALSE)</f>
        <v>-2290522.2400000002</v>
      </c>
      <c r="H429" s="27"/>
      <c r="I429" s="28"/>
      <c r="J429" s="29"/>
      <c r="K429" s="25" t="s">
        <v>29</v>
      </c>
      <c r="L429" s="25" t="s">
        <v>30</v>
      </c>
      <c r="M429" s="25" t="s">
        <v>59</v>
      </c>
      <c r="N429" s="25"/>
      <c r="O429" t="s">
        <v>87</v>
      </c>
      <c r="P429" s="32">
        <v>-385349.11</v>
      </c>
      <c r="Q429" s="30">
        <v>307.26</v>
      </c>
      <c r="R429" s="30">
        <v>11426.38</v>
      </c>
      <c r="S429" s="30" t="s">
        <v>33</v>
      </c>
      <c r="T429" t="s">
        <v>33</v>
      </c>
      <c r="U429" s="31" t="e">
        <v>#N/A</v>
      </c>
      <c r="V429" t="s">
        <v>34</v>
      </c>
      <c r="Y429" t="e">
        <f>VLOOKUP(A429,[2]!PRGX[[#All],[Proveedor]],1,FALSE)</f>
        <v>#REF!</v>
      </c>
    </row>
    <row r="430" spans="1:25" x14ac:dyDescent="0.25">
      <c r="A430" s="25">
        <v>39057</v>
      </c>
      <c r="B430" s="25" t="s">
        <v>468</v>
      </c>
      <c r="C430" s="26">
        <v>117763</v>
      </c>
      <c r="D430" s="27">
        <v>279983403.35000002</v>
      </c>
      <c r="E430" s="27">
        <v>230388760.95000002</v>
      </c>
      <c r="F430" s="27">
        <v>49594642.399999999</v>
      </c>
      <c r="G430" s="27">
        <f>VLOOKUP(A430,'[1]saldos al 26May26'!$C$2:$I$1010,7,FALSE)</f>
        <v>-10454753.640000001</v>
      </c>
      <c r="H430" s="27"/>
      <c r="I430" s="28"/>
      <c r="J430" s="29"/>
      <c r="K430" s="25" t="s">
        <v>29</v>
      </c>
      <c r="L430" s="25" t="s">
        <v>30</v>
      </c>
      <c r="M430" s="25" t="s">
        <v>50</v>
      </c>
      <c r="N430" s="25"/>
      <c r="O430" t="s">
        <v>32</v>
      </c>
      <c r="P430" s="32">
        <v>-1874948.5999999999</v>
      </c>
      <c r="Q430" s="30">
        <v>0</v>
      </c>
      <c r="R430" s="30"/>
      <c r="S430" s="30" t="s">
        <v>63</v>
      </c>
      <c r="T430" t="s">
        <v>33</v>
      </c>
      <c r="U430" s="31" t="e">
        <v>#N/A</v>
      </c>
      <c r="V430" t="s">
        <v>34</v>
      </c>
      <c r="Y430" t="e">
        <f>VLOOKUP(A430,[2]!PRGX[[#All],[Proveedor]],1,FALSE)</f>
        <v>#REF!</v>
      </c>
    </row>
    <row r="431" spans="1:25" x14ac:dyDescent="0.25">
      <c r="A431" s="25">
        <v>301002</v>
      </c>
      <c r="B431" s="25" t="s">
        <v>469</v>
      </c>
      <c r="C431" s="26">
        <v>44541</v>
      </c>
      <c r="D431" s="27">
        <v>279010741.35500002</v>
      </c>
      <c r="E431" s="27">
        <v>229028730.19500002</v>
      </c>
      <c r="F431" s="27">
        <v>49982011.159999996</v>
      </c>
      <c r="G431" s="27">
        <f>VLOOKUP(A431,'[1]saldos al 26May26'!$C$2:$I$1010,7,FALSE)</f>
        <v>-2286368.2000000002</v>
      </c>
      <c r="H431" s="27"/>
      <c r="I431" s="28"/>
      <c r="J431" s="29"/>
      <c r="K431" s="25" t="s">
        <v>40</v>
      </c>
      <c r="L431" s="25" t="s">
        <v>30</v>
      </c>
      <c r="M431" s="25" t="s">
        <v>55</v>
      </c>
      <c r="N431" s="25" t="s">
        <v>47</v>
      </c>
      <c r="O431" t="s">
        <v>47</v>
      </c>
      <c r="P431" s="32">
        <v>-2075582.4500000002</v>
      </c>
      <c r="Q431" s="30">
        <v>82045.51999999999</v>
      </c>
      <c r="R431" s="30"/>
      <c r="S431" s="30" t="e">
        <v>#N/A</v>
      </c>
      <c r="T431" t="s">
        <v>34</v>
      </c>
      <c r="U431" s="31" t="e">
        <v>#N/A</v>
      </c>
      <c r="V431" t="s">
        <v>34</v>
      </c>
      <c r="W431" s="42"/>
      <c r="Y431" t="e">
        <f>VLOOKUP(A431,[2]!PRGX[[#All],[Proveedor]],1,FALSE)</f>
        <v>#REF!</v>
      </c>
    </row>
    <row r="432" spans="1:25" x14ac:dyDescent="0.25">
      <c r="A432" s="25">
        <v>20729</v>
      </c>
      <c r="B432" s="25" t="s">
        <v>470</v>
      </c>
      <c r="C432" s="26">
        <v>3968</v>
      </c>
      <c r="D432" s="27">
        <v>278642669.30250001</v>
      </c>
      <c r="E432" s="27">
        <v>169269685.23400003</v>
      </c>
      <c r="F432" s="27">
        <v>109372984.0685</v>
      </c>
      <c r="G432" s="27">
        <f>VLOOKUP(A432,'[1]saldos al 26May26'!$C$2:$I$1010,7,FALSE)</f>
        <v>-5690083.71</v>
      </c>
      <c r="H432" s="27"/>
      <c r="I432" s="28"/>
      <c r="J432" s="29"/>
      <c r="K432" s="25" t="s">
        <v>29</v>
      </c>
      <c r="L432" s="25" t="s">
        <v>30</v>
      </c>
      <c r="M432" s="25" t="s">
        <v>50</v>
      </c>
      <c r="N432" s="25"/>
      <c r="O432" t="s">
        <v>32</v>
      </c>
      <c r="P432" s="32">
        <v>-7887766.1600000001</v>
      </c>
      <c r="Q432" s="30">
        <v>6660</v>
      </c>
      <c r="R432" s="30"/>
      <c r="S432" s="30" t="s">
        <v>33</v>
      </c>
      <c r="T432" t="s">
        <v>33</v>
      </c>
      <c r="U432" s="31" t="s">
        <v>33</v>
      </c>
      <c r="V432" t="s">
        <v>33</v>
      </c>
      <c r="Y432" t="e">
        <f>VLOOKUP(A432,[2]!PRGX[[#All],[Proveedor]],1,FALSE)</f>
        <v>#REF!</v>
      </c>
    </row>
    <row r="433" spans="1:25" x14ac:dyDescent="0.25">
      <c r="A433" s="52">
        <v>22969</v>
      </c>
      <c r="B433" s="52" t="s">
        <v>471</v>
      </c>
      <c r="C433" s="53">
        <v>12982</v>
      </c>
      <c r="D433" s="54">
        <v>277483032</v>
      </c>
      <c r="E433" s="27">
        <v>191065796</v>
      </c>
      <c r="F433" s="27">
        <v>86417236</v>
      </c>
      <c r="G433" s="54">
        <f>VLOOKUP(A433,'[1]saldos al 26May26'!$C$2:$I$1010,7,FALSE)</f>
        <v>-16255565.949999999</v>
      </c>
      <c r="H433" s="54"/>
      <c r="I433" s="55"/>
      <c r="J433" s="56"/>
      <c r="K433" s="52" t="s">
        <v>29</v>
      </c>
      <c r="L433" s="52" t="s">
        <v>29</v>
      </c>
      <c r="M433" s="52" t="s">
        <v>55</v>
      </c>
      <c r="N433" s="52" t="s">
        <v>67</v>
      </c>
      <c r="O433" s="57" t="s">
        <v>67</v>
      </c>
      <c r="P433" s="59">
        <v>-581096.67999999993</v>
      </c>
      <c r="Q433" s="58">
        <v>581145.12</v>
      </c>
      <c r="R433" s="30"/>
      <c r="S433" s="30" t="s">
        <v>33</v>
      </c>
      <c r="T433" s="57" t="s">
        <v>33</v>
      </c>
      <c r="U433" s="31" t="s">
        <v>33</v>
      </c>
      <c r="V433" t="s">
        <v>33</v>
      </c>
      <c r="Y433" t="e">
        <f>VLOOKUP(A433,[2]!PRGX[[#All],[Proveedor]],1,FALSE)</f>
        <v>#REF!</v>
      </c>
    </row>
    <row r="434" spans="1:25" x14ac:dyDescent="0.25">
      <c r="A434" s="25">
        <v>18614</v>
      </c>
      <c r="B434" s="25" t="s">
        <v>472</v>
      </c>
      <c r="C434" s="26">
        <v>10277</v>
      </c>
      <c r="D434" s="27">
        <v>275637917.97100002</v>
      </c>
      <c r="E434" s="27">
        <v>228878791.80000001</v>
      </c>
      <c r="F434" s="27">
        <v>46759126.170999996</v>
      </c>
      <c r="G434" s="27">
        <f>VLOOKUP(A434,'[1]saldos al 26May26'!$C$2:$I$1010,7,FALSE)</f>
        <v>-6291633.7599999998</v>
      </c>
      <c r="H434" s="27"/>
      <c r="I434" s="28"/>
      <c r="J434" s="29">
        <v>455736.56970293925</v>
      </c>
      <c r="K434" s="25" t="s">
        <v>40</v>
      </c>
      <c r="L434" s="25" t="s">
        <v>30</v>
      </c>
      <c r="M434" s="25" t="s">
        <v>50</v>
      </c>
      <c r="N434" s="25" t="s">
        <v>45</v>
      </c>
      <c r="O434" t="s">
        <v>45</v>
      </c>
      <c r="P434" s="32">
        <v>-1618803.3</v>
      </c>
      <c r="Q434" s="30">
        <v>0</v>
      </c>
      <c r="R434" s="30"/>
      <c r="S434" s="30" t="e">
        <v>#N/A</v>
      </c>
      <c r="T434" t="s">
        <v>34</v>
      </c>
      <c r="U434" s="31">
        <v>0</v>
      </c>
      <c r="V434" t="s">
        <v>42</v>
      </c>
      <c r="Y434" t="e">
        <f>VLOOKUP(A434,[2]!PRGX[[#All],[Proveedor]],1,FALSE)</f>
        <v>#REF!</v>
      </c>
    </row>
    <row r="435" spans="1:25" x14ac:dyDescent="0.25">
      <c r="A435" s="25">
        <v>82768</v>
      </c>
      <c r="B435" s="25" t="s">
        <v>473</v>
      </c>
      <c r="C435" s="26">
        <v>1724</v>
      </c>
      <c r="D435" s="27">
        <v>272833793.06199998</v>
      </c>
      <c r="E435" s="27">
        <v>178526205.21999997</v>
      </c>
      <c r="F435" s="27">
        <v>94307587.841999993</v>
      </c>
      <c r="G435" s="27">
        <f>VLOOKUP(A435,'[1]saldos al 26May26'!$C$2:$I$1010,7,FALSE)</f>
        <v>-20200098.25</v>
      </c>
      <c r="H435" s="27"/>
      <c r="I435" s="28"/>
      <c r="J435" s="29"/>
      <c r="K435" s="25" t="s">
        <v>29</v>
      </c>
      <c r="L435" s="25" t="s">
        <v>30</v>
      </c>
      <c r="M435" s="25" t="s">
        <v>50</v>
      </c>
      <c r="N435" s="25"/>
      <c r="O435" t="s">
        <v>45</v>
      </c>
      <c r="P435" s="32">
        <v>-615425.12</v>
      </c>
      <c r="Q435" s="30">
        <v>0</v>
      </c>
      <c r="R435" s="30">
        <v>26365.25</v>
      </c>
      <c r="S435" s="30" t="s">
        <v>33</v>
      </c>
      <c r="T435" t="s">
        <v>33</v>
      </c>
      <c r="U435" s="31" t="e">
        <v>#N/A</v>
      </c>
      <c r="V435" t="s">
        <v>34</v>
      </c>
      <c r="Y435" t="e">
        <f>VLOOKUP(A435,[2]!PRGX[[#All],[Proveedor]],1,FALSE)</f>
        <v>#REF!</v>
      </c>
    </row>
    <row r="436" spans="1:25" x14ac:dyDescent="0.25">
      <c r="A436" s="25">
        <v>50153</v>
      </c>
      <c r="B436" s="25" t="s">
        <v>474</v>
      </c>
      <c r="C436" s="26">
        <v>17705</v>
      </c>
      <c r="D436" s="27">
        <v>271184033.96420002</v>
      </c>
      <c r="E436" s="27">
        <v>209631469.22420001</v>
      </c>
      <c r="F436" s="27">
        <v>61552564.740000002</v>
      </c>
      <c r="G436" s="27">
        <f>VLOOKUP(A436,'[1]saldos al 26May26'!$C$2:$I$1010,7,FALSE)</f>
        <v>-9374545.1899999995</v>
      </c>
      <c r="H436" s="27"/>
      <c r="I436" s="28"/>
      <c r="J436" s="29">
        <v>1816796.0306816904</v>
      </c>
      <c r="K436" s="25" t="s">
        <v>40</v>
      </c>
      <c r="L436" s="25" t="s">
        <v>30</v>
      </c>
      <c r="M436" s="25" t="s">
        <v>61</v>
      </c>
      <c r="N436" s="25" t="s">
        <v>41</v>
      </c>
      <c r="O436" t="s">
        <v>41</v>
      </c>
      <c r="P436" s="32">
        <v>-153986.69</v>
      </c>
      <c r="Q436" s="30">
        <v>971620.21</v>
      </c>
      <c r="R436" s="30">
        <v>56203.03</v>
      </c>
      <c r="S436" s="30" t="s">
        <v>63</v>
      </c>
      <c r="T436" t="s">
        <v>33</v>
      </c>
      <c r="U436" s="31" t="s">
        <v>33</v>
      </c>
      <c r="V436" t="s">
        <v>33</v>
      </c>
      <c r="Y436" t="e">
        <f>VLOOKUP(A436,[2]!PRGX[[#All],[Proveedor]],1,FALSE)</f>
        <v>#REF!</v>
      </c>
    </row>
    <row r="437" spans="1:25" x14ac:dyDescent="0.25">
      <c r="A437" s="25">
        <v>343657</v>
      </c>
      <c r="B437" s="25" t="s">
        <v>475</v>
      </c>
      <c r="C437" s="26">
        <v>148469</v>
      </c>
      <c r="D437" s="27">
        <v>269961716.20749998</v>
      </c>
      <c r="E437" s="27">
        <v>216429289.63749999</v>
      </c>
      <c r="F437" s="27">
        <v>53532426.57</v>
      </c>
      <c r="G437" s="27">
        <f>VLOOKUP(A437,'[1]saldos al 26May26'!$C$2:$I$1010,7,FALSE)</f>
        <v>-12633774.4</v>
      </c>
      <c r="H437" s="27"/>
      <c r="I437" s="28"/>
      <c r="J437" s="29"/>
      <c r="K437" s="25" t="s">
        <v>40</v>
      </c>
      <c r="L437" s="25" t="s">
        <v>30</v>
      </c>
      <c r="M437" s="25" t="s">
        <v>55</v>
      </c>
      <c r="N437" s="25" t="s">
        <v>47</v>
      </c>
      <c r="O437" t="s">
        <v>47</v>
      </c>
      <c r="P437" s="32">
        <v>-1072329.27</v>
      </c>
      <c r="Q437" s="30">
        <v>209.5</v>
      </c>
      <c r="R437" s="30">
        <v>193234.2</v>
      </c>
      <c r="S437" s="30" t="e">
        <v>#N/A</v>
      </c>
      <c r="T437" t="s">
        <v>34</v>
      </c>
      <c r="U437" s="31" t="e">
        <v>#N/A</v>
      </c>
      <c r="V437" t="s">
        <v>34</v>
      </c>
      <c r="Y437" t="e">
        <f>VLOOKUP(A437,[2]!PRGX[[#All],[Proveedor]],1,FALSE)</f>
        <v>#REF!</v>
      </c>
    </row>
    <row r="438" spans="1:25" x14ac:dyDescent="0.25">
      <c r="A438" s="25">
        <v>388819</v>
      </c>
      <c r="B438" s="25" t="s">
        <v>476</v>
      </c>
      <c r="C438" s="26">
        <v>115206</v>
      </c>
      <c r="D438" s="27">
        <v>269034950.98000002</v>
      </c>
      <c r="E438" s="27">
        <v>197697837.78000003</v>
      </c>
      <c r="F438" s="27">
        <v>71337113.200000003</v>
      </c>
      <c r="G438" s="27">
        <f>VLOOKUP(A438,'[1]saldos al 26May26'!$C$2:$I$1010,7,FALSE)</f>
        <v>-2277141.2000000002</v>
      </c>
      <c r="H438" s="27"/>
      <c r="I438" s="28"/>
      <c r="J438" s="29"/>
      <c r="K438" s="25" t="s">
        <v>40</v>
      </c>
      <c r="L438" s="25" t="s">
        <v>30</v>
      </c>
      <c r="M438" s="25" t="s">
        <v>55</v>
      </c>
      <c r="N438" s="25" t="s">
        <v>32</v>
      </c>
      <c r="O438" t="s">
        <v>32</v>
      </c>
      <c r="P438" s="32">
        <v>-1143852.7200000002</v>
      </c>
      <c r="Q438" s="30">
        <v>55683</v>
      </c>
      <c r="R438" s="30">
        <v>50000</v>
      </c>
      <c r="S438" s="30" t="s">
        <v>33</v>
      </c>
      <c r="T438" t="s">
        <v>33</v>
      </c>
      <c r="U438" s="31" t="e">
        <v>#N/A</v>
      </c>
      <c r="V438" t="s">
        <v>34</v>
      </c>
      <c r="Y438" t="e">
        <f>VLOOKUP(A438,[2]!PRGX[[#All],[Proveedor]],1,FALSE)</f>
        <v>#REF!</v>
      </c>
    </row>
    <row r="439" spans="1:25" x14ac:dyDescent="0.25">
      <c r="A439" s="25">
        <v>12229</v>
      </c>
      <c r="B439" s="25" t="s">
        <v>477</v>
      </c>
      <c r="C439" s="26">
        <v>5087</v>
      </c>
      <c r="D439" s="27">
        <v>267105540.47999999</v>
      </c>
      <c r="E439" s="27">
        <v>221422529.51999998</v>
      </c>
      <c r="F439" s="27">
        <v>45683010.960000001</v>
      </c>
      <c r="G439" s="27">
        <f>VLOOKUP(A439,'[1]saldos al 26May26'!$C$2:$I$1010,7,FALSE)</f>
        <v>-9447117.3399999999</v>
      </c>
      <c r="H439" s="27"/>
      <c r="I439" s="28"/>
      <c r="J439" s="29"/>
      <c r="K439" s="25" t="s">
        <v>29</v>
      </c>
      <c r="L439" s="25" t="s">
        <v>30</v>
      </c>
      <c r="M439" s="25" t="s">
        <v>55</v>
      </c>
      <c r="N439" s="25"/>
      <c r="O439" t="s">
        <v>51</v>
      </c>
      <c r="P439" s="32">
        <v>-858495.90999999992</v>
      </c>
      <c r="Q439" s="30">
        <v>128544.48</v>
      </c>
      <c r="R439" s="30"/>
      <c r="S439" s="30" t="s">
        <v>33</v>
      </c>
      <c r="T439" t="s">
        <v>33</v>
      </c>
      <c r="U439" s="31" t="e">
        <v>#N/A</v>
      </c>
      <c r="V439" t="s">
        <v>34</v>
      </c>
      <c r="Y439" t="e">
        <f>VLOOKUP(A439,[2]!PRGX[[#All],[Proveedor]],1,FALSE)</f>
        <v>#REF!</v>
      </c>
    </row>
    <row r="440" spans="1:25" x14ac:dyDescent="0.25">
      <c r="A440" s="25">
        <v>387860</v>
      </c>
      <c r="B440" s="25" t="s">
        <v>478</v>
      </c>
      <c r="C440" s="26">
        <v>17852</v>
      </c>
      <c r="D440" s="27">
        <v>266267061.75</v>
      </c>
      <c r="E440" s="27">
        <v>210150709.71000001</v>
      </c>
      <c r="F440" s="27">
        <v>56116352.039999999</v>
      </c>
      <c r="G440" s="27">
        <f>VLOOKUP(A440,'[1]saldos al 26May26'!$C$2:$I$1010,7,FALSE)</f>
        <v>-7707744.6299999999</v>
      </c>
      <c r="H440" s="27"/>
      <c r="I440" s="28"/>
      <c r="J440" s="29"/>
      <c r="K440" s="25" t="s">
        <v>29</v>
      </c>
      <c r="L440" s="25" t="s">
        <v>30</v>
      </c>
      <c r="M440" s="25" t="s">
        <v>55</v>
      </c>
      <c r="N440" s="25"/>
      <c r="O440" t="s">
        <v>96</v>
      </c>
      <c r="P440" s="32">
        <v>-279577.64</v>
      </c>
      <c r="Q440" s="30">
        <v>337.68</v>
      </c>
      <c r="R440" s="30"/>
      <c r="S440" s="30">
        <v>0</v>
      </c>
      <c r="T440" t="s">
        <v>33</v>
      </c>
      <c r="U440" s="31">
        <v>0</v>
      </c>
      <c r="V440" t="s">
        <v>42</v>
      </c>
      <c r="Y440" t="e">
        <f>VLOOKUP(A440,[2]!PRGX[[#All],[Proveedor]],1,FALSE)</f>
        <v>#REF!</v>
      </c>
    </row>
    <row r="441" spans="1:25" x14ac:dyDescent="0.25">
      <c r="A441" s="25">
        <v>55798</v>
      </c>
      <c r="B441" s="25" t="s">
        <v>479</v>
      </c>
      <c r="C441" s="26">
        <v>16999</v>
      </c>
      <c r="D441" s="27">
        <v>263283198.06</v>
      </c>
      <c r="E441" s="27">
        <v>239918404.59</v>
      </c>
      <c r="F441" s="27">
        <v>23364793.469999999</v>
      </c>
      <c r="G441" s="27">
        <f>VLOOKUP(A441,'[1]saldos al 26May26'!$C$2:$I$1010,7,FALSE)</f>
        <v>-779787.23</v>
      </c>
      <c r="H441" s="27"/>
      <c r="I441" s="28"/>
      <c r="J441" s="29"/>
      <c r="K441" s="25" t="s">
        <v>29</v>
      </c>
      <c r="L441" s="25" t="s">
        <v>30</v>
      </c>
      <c r="M441" s="25" t="s">
        <v>50</v>
      </c>
      <c r="N441" s="25"/>
      <c r="O441" t="s">
        <v>51</v>
      </c>
      <c r="P441" s="32">
        <v>-333972.31000000006</v>
      </c>
      <c r="Q441" s="30">
        <v>11928.45</v>
      </c>
      <c r="R441" s="30"/>
      <c r="S441" s="30" t="s">
        <v>33</v>
      </c>
      <c r="T441" t="s">
        <v>33</v>
      </c>
      <c r="U441" s="31" t="e">
        <v>#N/A</v>
      </c>
      <c r="V441" t="s">
        <v>34</v>
      </c>
      <c r="Y441" t="e">
        <f>VLOOKUP(A441,[2]!PRGX[[#All],[Proveedor]],1,FALSE)</f>
        <v>#REF!</v>
      </c>
    </row>
    <row r="442" spans="1:25" x14ac:dyDescent="0.25">
      <c r="A442" s="25">
        <v>1256</v>
      </c>
      <c r="B442" s="25" t="s">
        <v>480</v>
      </c>
      <c r="C442" s="26">
        <v>492712</v>
      </c>
      <c r="D442" s="27">
        <v>261737179.30000001</v>
      </c>
      <c r="E442" s="27">
        <v>219416919.45000002</v>
      </c>
      <c r="F442" s="27">
        <v>42320259.850000001</v>
      </c>
      <c r="G442" s="27">
        <f>VLOOKUP(A442,'[1]saldos al 26May26'!$C$2:$I$1010,7,FALSE)</f>
        <v>-1572609.79</v>
      </c>
      <c r="H442" s="27"/>
      <c r="I442" s="28"/>
      <c r="J442" s="29"/>
      <c r="K442" s="25" t="s">
        <v>29</v>
      </c>
      <c r="L442" s="25" t="s">
        <v>30</v>
      </c>
      <c r="M442" s="25" t="s">
        <v>59</v>
      </c>
      <c r="N442" s="25"/>
      <c r="O442" t="s">
        <v>87</v>
      </c>
      <c r="P442" s="30">
        <v>1820121.83</v>
      </c>
      <c r="Q442" s="30">
        <v>184931.07</v>
      </c>
      <c r="R442" s="30"/>
      <c r="S442" s="30">
        <v>0</v>
      </c>
      <c r="T442" t="s">
        <v>33</v>
      </c>
      <c r="U442" s="31" t="e">
        <v>#N/A</v>
      </c>
      <c r="V442" t="s">
        <v>34</v>
      </c>
      <c r="Y442" t="e">
        <f>VLOOKUP(A442,[2]!PRGX[[#All],[Proveedor]],1,FALSE)</f>
        <v>#REF!</v>
      </c>
    </row>
    <row r="443" spans="1:25" x14ac:dyDescent="0.25">
      <c r="A443" s="25">
        <v>11077</v>
      </c>
      <c r="B443" s="25" t="s">
        <v>481</v>
      </c>
      <c r="C443" s="26">
        <v>18164</v>
      </c>
      <c r="D443" s="27">
        <v>259984929.66</v>
      </c>
      <c r="E443" s="27">
        <v>220298989.75999999</v>
      </c>
      <c r="F443" s="27">
        <v>39685939.899999999</v>
      </c>
      <c r="G443" s="27">
        <f>VLOOKUP(A443,'[1]saldos al 26May26'!$C$2:$I$1010,7,FALSE)</f>
        <v>-6587678.04</v>
      </c>
      <c r="H443" s="27"/>
      <c r="I443" s="28"/>
      <c r="J443" s="29">
        <v>1225469.6021392311</v>
      </c>
      <c r="K443" s="25" t="s">
        <v>29</v>
      </c>
      <c r="L443" s="25" t="s">
        <v>30</v>
      </c>
      <c r="M443" s="25" t="s">
        <v>31</v>
      </c>
      <c r="N443" s="25"/>
      <c r="O443" t="s">
        <v>36</v>
      </c>
      <c r="P443" s="32">
        <v>-870386.31</v>
      </c>
      <c r="Q443" s="30">
        <v>0</v>
      </c>
      <c r="R443" s="30"/>
      <c r="S443" s="30" t="s">
        <v>63</v>
      </c>
      <c r="T443" t="s">
        <v>33</v>
      </c>
      <c r="U443" s="31" t="s">
        <v>33</v>
      </c>
      <c r="V443" t="s">
        <v>33</v>
      </c>
      <c r="Y443" t="e">
        <f>VLOOKUP(A443,[2]!PRGX[[#All],[Proveedor]],1,FALSE)</f>
        <v>#REF!</v>
      </c>
    </row>
    <row r="444" spans="1:25" x14ac:dyDescent="0.25">
      <c r="A444" s="25">
        <v>303472</v>
      </c>
      <c r="B444" s="25" t="s">
        <v>482</v>
      </c>
      <c r="C444" s="26">
        <v>136047</v>
      </c>
      <c r="D444" s="27">
        <v>258403919.98840001</v>
      </c>
      <c r="E444" s="27">
        <v>199364665.43600002</v>
      </c>
      <c r="F444" s="27">
        <v>59039254.5524</v>
      </c>
      <c r="G444" s="27">
        <f>VLOOKUP(A444,'[1]saldos al 26May26'!$C$2:$I$1010,7,FALSE)</f>
        <v>-3380473.24</v>
      </c>
      <c r="H444" s="27"/>
      <c r="I444" s="28"/>
      <c r="J444" s="29"/>
      <c r="K444" s="25" t="s">
        <v>29</v>
      </c>
      <c r="L444" s="25" t="s">
        <v>30</v>
      </c>
      <c r="M444" s="25" t="s">
        <v>55</v>
      </c>
      <c r="N444" s="25"/>
      <c r="O444" t="s">
        <v>38</v>
      </c>
      <c r="P444" s="32">
        <v>-143554.76</v>
      </c>
      <c r="Q444" s="30">
        <v>35036.450000000012</v>
      </c>
      <c r="R444" s="30"/>
      <c r="S444" s="30" t="s">
        <v>33</v>
      </c>
      <c r="T444" t="s">
        <v>33</v>
      </c>
      <c r="U444" s="31" t="e">
        <v>#N/A</v>
      </c>
      <c r="V444" t="s">
        <v>34</v>
      </c>
      <c r="Y444" t="e">
        <f>VLOOKUP(A444,[2]!PRGX[[#All],[Proveedor]],1,FALSE)</f>
        <v>#REF!</v>
      </c>
    </row>
    <row r="445" spans="1:25" x14ac:dyDescent="0.25">
      <c r="A445" s="25">
        <v>22711</v>
      </c>
      <c r="B445" s="25" t="s">
        <v>304</v>
      </c>
      <c r="C445" s="26">
        <v>4189</v>
      </c>
      <c r="D445" s="27">
        <v>257267265.83829999</v>
      </c>
      <c r="E445" s="27">
        <v>232288232.1875</v>
      </c>
      <c r="F445" s="27">
        <v>24979033.650800001</v>
      </c>
      <c r="G445" s="27">
        <f>VLOOKUP(A445,'[1]saldos al 26May26'!$C$2:$I$1010,7,FALSE)</f>
        <v>-4005818.78</v>
      </c>
      <c r="H445" s="27"/>
      <c r="I445" s="28"/>
      <c r="J445" s="29"/>
      <c r="K445" s="25" t="s">
        <v>29</v>
      </c>
      <c r="L445" s="25" t="s">
        <v>30</v>
      </c>
      <c r="M445" s="25" t="s">
        <v>59</v>
      </c>
      <c r="N445" s="25"/>
      <c r="O445" t="s">
        <v>67</v>
      </c>
      <c r="P445" s="32">
        <v>-1919229.3599999999</v>
      </c>
      <c r="Q445" s="30">
        <v>898723.6</v>
      </c>
      <c r="R445" s="30"/>
      <c r="S445" s="30">
        <v>0</v>
      </c>
      <c r="T445" t="s">
        <v>33</v>
      </c>
      <c r="U445" s="31" t="e">
        <v>#N/A</v>
      </c>
      <c r="V445" t="s">
        <v>34</v>
      </c>
      <c r="Y445" t="e">
        <f>VLOOKUP(A445,[2]!PRGX[[#All],[Proveedor]],1,FALSE)</f>
        <v>#REF!</v>
      </c>
    </row>
    <row r="446" spans="1:25" x14ac:dyDescent="0.25">
      <c r="A446" s="25">
        <v>7542</v>
      </c>
      <c r="B446" s="25" t="s">
        <v>483</v>
      </c>
      <c r="C446" s="26">
        <v>13985</v>
      </c>
      <c r="D446" s="27">
        <v>255027203.05970001</v>
      </c>
      <c r="E446" s="27">
        <v>196287053.69</v>
      </c>
      <c r="F446" s="27">
        <v>58740149.3697</v>
      </c>
      <c r="G446" s="27">
        <f>VLOOKUP(A446,'[1]saldos al 26May26'!$C$2:$I$1010,7,FALSE)</f>
        <v>-7456338.5899999999</v>
      </c>
      <c r="H446" s="27"/>
      <c r="I446" s="28"/>
      <c r="J446" s="29"/>
      <c r="K446" s="25" t="s">
        <v>29</v>
      </c>
      <c r="L446" s="25" t="s">
        <v>30</v>
      </c>
      <c r="M446" s="25" t="s">
        <v>50</v>
      </c>
      <c r="N446" s="25"/>
      <c r="O446" t="s">
        <v>32</v>
      </c>
      <c r="P446" s="30">
        <v>206669.97</v>
      </c>
      <c r="Q446" s="30">
        <v>-562.67999999999995</v>
      </c>
      <c r="R446" s="30"/>
      <c r="S446" s="30" t="s">
        <v>63</v>
      </c>
      <c r="T446" t="s">
        <v>33</v>
      </c>
      <c r="U446" s="31" t="e">
        <v>#N/A</v>
      </c>
      <c r="V446" t="s">
        <v>34</v>
      </c>
      <c r="Y446" t="e">
        <f>VLOOKUP(A446,[2]!PRGX[[#All],[Proveedor]],1,FALSE)</f>
        <v>#REF!</v>
      </c>
    </row>
    <row r="447" spans="1:25" x14ac:dyDescent="0.25">
      <c r="A447" s="52">
        <v>38885</v>
      </c>
      <c r="B447" s="52" t="s">
        <v>484</v>
      </c>
      <c r="C447" s="53">
        <v>6007</v>
      </c>
      <c r="D447" s="54">
        <v>254206859.38</v>
      </c>
      <c r="E447" s="27">
        <v>212502956.38999999</v>
      </c>
      <c r="F447" s="27">
        <v>41703902.990000002</v>
      </c>
      <c r="G447" s="54">
        <f>VLOOKUP(A447,'[1]saldos al 26May26'!$C$2:$I$1010,7,FALSE)</f>
        <v>-29455671.940000001</v>
      </c>
      <c r="H447" s="54"/>
      <c r="I447" s="55"/>
      <c r="J447" s="56">
        <v>234736.31725819001</v>
      </c>
      <c r="K447" s="52" t="s">
        <v>40</v>
      </c>
      <c r="L447" s="52" t="s">
        <v>30</v>
      </c>
      <c r="M447" s="52" t="s">
        <v>31</v>
      </c>
      <c r="N447" s="52" t="s">
        <v>47</v>
      </c>
      <c r="O447" s="57" t="s">
        <v>47</v>
      </c>
      <c r="P447" s="59">
        <v>-578827.7300000001</v>
      </c>
      <c r="Q447" s="58">
        <v>643228.34</v>
      </c>
      <c r="R447" s="30">
        <v>1449712</v>
      </c>
      <c r="S447" s="30" t="e">
        <v>#N/A</v>
      </c>
      <c r="T447" s="57" t="s">
        <v>34</v>
      </c>
      <c r="U447" s="31" t="e">
        <v>#N/A</v>
      </c>
      <c r="V447" s="57" t="s">
        <v>34</v>
      </c>
      <c r="X447" t="s">
        <v>43</v>
      </c>
      <c r="Y447" t="e">
        <f>VLOOKUP(A447,[2]!PRGX[[#All],[Proveedor]],1,FALSE)</f>
        <v>#REF!</v>
      </c>
    </row>
    <row r="448" spans="1:25" x14ac:dyDescent="0.25">
      <c r="A448" s="25">
        <v>307819</v>
      </c>
      <c r="B448" s="25" t="s">
        <v>485</v>
      </c>
      <c r="C448" s="26">
        <v>6348</v>
      </c>
      <c r="D448" s="27">
        <v>253182801.71869999</v>
      </c>
      <c r="E448" s="27">
        <v>164314221.47259998</v>
      </c>
      <c r="F448" s="27">
        <v>88868580.246099994</v>
      </c>
      <c r="G448" s="27">
        <f>VLOOKUP(A448,'[1]saldos al 26May26'!$C$2:$I$1010,7,FALSE)</f>
        <v>-4800964.3600000003</v>
      </c>
      <c r="H448" s="27"/>
      <c r="I448" s="28"/>
      <c r="J448" s="29">
        <v>1037761.40886995</v>
      </c>
      <c r="K448" s="25" t="s">
        <v>29</v>
      </c>
      <c r="L448" s="25" t="s">
        <v>30</v>
      </c>
      <c r="M448" s="25" t="s">
        <v>55</v>
      </c>
      <c r="N448" s="25"/>
      <c r="O448" t="s">
        <v>70</v>
      </c>
      <c r="P448" s="32">
        <v>-692471.91</v>
      </c>
      <c r="Q448" s="30">
        <v>0</v>
      </c>
      <c r="R448" s="30">
        <v>133495</v>
      </c>
      <c r="S448" s="30" t="s">
        <v>33</v>
      </c>
      <c r="T448" t="s">
        <v>33</v>
      </c>
      <c r="U448" s="31" t="e">
        <v>#N/A</v>
      </c>
      <c r="V448" t="s">
        <v>34</v>
      </c>
      <c r="Y448" t="e">
        <f>VLOOKUP(A448,[2]!PRGX[[#All],[Proveedor]],1,FALSE)</f>
        <v>#REF!</v>
      </c>
    </row>
    <row r="449" spans="1:26" x14ac:dyDescent="0.25">
      <c r="A449" s="25">
        <v>398487</v>
      </c>
      <c r="B449" s="25" t="s">
        <v>486</v>
      </c>
      <c r="C449" s="26">
        <v>7047</v>
      </c>
      <c r="D449" s="27">
        <v>252428605.08899999</v>
      </c>
      <c r="E449" s="27">
        <v>189362566.43899998</v>
      </c>
      <c r="F449" s="27">
        <v>63066038.649999999</v>
      </c>
      <c r="G449" s="27">
        <f>VLOOKUP(A449,'[1]saldos al 26May26'!$C$2:$I$1010,7,FALSE)</f>
        <v>-9870653.6799999997</v>
      </c>
      <c r="H449" s="27"/>
      <c r="I449" s="28"/>
      <c r="J449" s="29"/>
      <c r="K449" s="25" t="s">
        <v>29</v>
      </c>
      <c r="L449" s="25" t="s">
        <v>30</v>
      </c>
      <c r="M449" s="25" t="s">
        <v>59</v>
      </c>
      <c r="N449" s="25"/>
      <c r="O449" s="43" t="s">
        <v>41</v>
      </c>
      <c r="P449" s="30">
        <v>916085.12</v>
      </c>
      <c r="Q449" s="30">
        <v>113605</v>
      </c>
      <c r="R449" s="30"/>
      <c r="S449" s="30" t="s">
        <v>33</v>
      </c>
      <c r="T449" t="s">
        <v>33</v>
      </c>
      <c r="U449" s="31" t="e">
        <v>#N/A</v>
      </c>
      <c r="V449" t="s">
        <v>34</v>
      </c>
      <c r="Y449" t="e">
        <f>VLOOKUP(A449,[2]!PRGX[[#All],[Proveedor]],1,FALSE)</f>
        <v>#REF!</v>
      </c>
    </row>
    <row r="450" spans="1:26" x14ac:dyDescent="0.25">
      <c r="A450" s="25">
        <v>97485</v>
      </c>
      <c r="B450" s="25" t="s">
        <v>487</v>
      </c>
      <c r="C450" s="26">
        <v>5980</v>
      </c>
      <c r="D450" s="27">
        <v>251902043.7965</v>
      </c>
      <c r="E450" s="27">
        <v>194291983.4445</v>
      </c>
      <c r="F450" s="27">
        <v>57610060.351999998</v>
      </c>
      <c r="G450" s="27">
        <f>VLOOKUP(A450,'[1]saldos al 26May26'!$C$2:$I$1010,7,FALSE)</f>
        <v>-4138798.02</v>
      </c>
      <c r="H450" s="27"/>
      <c r="I450" s="28"/>
      <c r="J450" s="29">
        <v>1431.9896249999999</v>
      </c>
      <c r="K450" s="25" t="s">
        <v>40</v>
      </c>
      <c r="L450" s="25" t="s">
        <v>30</v>
      </c>
      <c r="M450" s="25" t="s">
        <v>55</v>
      </c>
      <c r="N450" s="25" t="s">
        <v>36</v>
      </c>
      <c r="O450" t="s">
        <v>36</v>
      </c>
      <c r="P450" s="32">
        <v>-442663.57</v>
      </c>
      <c r="Q450" s="30">
        <v>0</v>
      </c>
      <c r="R450" s="30"/>
      <c r="S450" s="30" t="s">
        <v>33</v>
      </c>
      <c r="T450" t="s">
        <v>33</v>
      </c>
      <c r="U450" s="31" t="e">
        <v>#N/A</v>
      </c>
      <c r="V450" t="s">
        <v>34</v>
      </c>
      <c r="Y450" t="e">
        <f>VLOOKUP(A450,[2]!PRGX[[#All],[Proveedor]],1,FALSE)</f>
        <v>#REF!</v>
      </c>
    </row>
    <row r="451" spans="1:26" x14ac:dyDescent="0.25">
      <c r="A451" s="25">
        <v>13642</v>
      </c>
      <c r="B451" s="25" t="s">
        <v>488</v>
      </c>
      <c r="C451" s="26">
        <v>34116</v>
      </c>
      <c r="D451" s="27">
        <v>251061241.28999999</v>
      </c>
      <c r="E451" s="27">
        <v>212492190.97999999</v>
      </c>
      <c r="F451" s="27">
        <v>38569050.310000002</v>
      </c>
      <c r="G451" s="27">
        <f>VLOOKUP(A451,'[1]saldos al 26May26'!$C$2:$I$1010,7,FALSE)</f>
        <v>-2603630.59</v>
      </c>
      <c r="H451" s="27"/>
      <c r="I451" s="28"/>
      <c r="J451" s="29"/>
      <c r="K451" s="25" t="s">
        <v>29</v>
      </c>
      <c r="L451" s="25" t="s">
        <v>30</v>
      </c>
      <c r="M451" s="25" t="s">
        <v>50</v>
      </c>
      <c r="N451" s="25"/>
      <c r="O451" t="s">
        <v>38</v>
      </c>
      <c r="P451" s="32">
        <v>-578925.73</v>
      </c>
      <c r="Q451" s="30">
        <v>308814.90999999997</v>
      </c>
      <c r="R451" s="30">
        <v>304038.40999999997</v>
      </c>
      <c r="S451" s="30" t="s">
        <v>33</v>
      </c>
      <c r="T451" t="s">
        <v>33</v>
      </c>
      <c r="U451" s="31" t="e">
        <v>#N/A</v>
      </c>
      <c r="V451" t="s">
        <v>34</v>
      </c>
      <c r="Y451" t="e">
        <f>VLOOKUP(A451,[2]!PRGX[[#All],[Proveedor]],1,FALSE)</f>
        <v>#REF!</v>
      </c>
    </row>
    <row r="452" spans="1:26" x14ac:dyDescent="0.25">
      <c r="A452" s="25">
        <v>85449</v>
      </c>
      <c r="B452" s="25" t="s">
        <v>489</v>
      </c>
      <c r="C452" s="26">
        <v>11383</v>
      </c>
      <c r="D452" s="27">
        <v>36019531.549999997</v>
      </c>
      <c r="E452" s="27">
        <v>28875555.109999996</v>
      </c>
      <c r="F452" s="27">
        <v>7143976.4400000004</v>
      </c>
      <c r="G452" s="27">
        <f>VLOOKUP(A452,'[1]saldos al 26May26'!$C$2:$I$1010,7,FALSE)</f>
        <v>-986461.46</v>
      </c>
      <c r="H452" s="27"/>
      <c r="I452" s="28"/>
      <c r="J452" s="29">
        <v>72429.930195776498</v>
      </c>
      <c r="K452" s="25" t="s">
        <v>40</v>
      </c>
      <c r="L452" s="25" t="s">
        <v>30</v>
      </c>
      <c r="M452" s="25" t="s">
        <v>31</v>
      </c>
      <c r="N452" s="25" t="s">
        <v>56</v>
      </c>
      <c r="O452" t="s">
        <v>56</v>
      </c>
      <c r="P452" s="30">
        <v>1461605.36</v>
      </c>
      <c r="Q452" s="30">
        <v>16528.7</v>
      </c>
      <c r="R452" s="30"/>
      <c r="S452" s="30" t="e">
        <v>#N/A</v>
      </c>
      <c r="T452" t="s">
        <v>34</v>
      </c>
      <c r="U452" s="31">
        <v>0</v>
      </c>
      <c r="V452" t="s">
        <v>42</v>
      </c>
      <c r="Y452" t="e">
        <f>VLOOKUP(A452,[2]!PRGX[[#All],[Proveedor]],1,FALSE)</f>
        <v>#REF!</v>
      </c>
    </row>
    <row r="453" spans="1:26" x14ac:dyDescent="0.25">
      <c r="A453" s="25">
        <v>54858</v>
      </c>
      <c r="B453" s="25" t="s">
        <v>490</v>
      </c>
      <c r="C453" s="26">
        <v>32602</v>
      </c>
      <c r="D453" s="27">
        <v>248827377.56999999</v>
      </c>
      <c r="E453" s="27">
        <v>202942472.81999999</v>
      </c>
      <c r="F453" s="27">
        <v>45884904.75</v>
      </c>
      <c r="G453" s="27">
        <f>VLOOKUP(A453,'[1]saldos al 26May26'!$C$2:$I$1010,7,FALSE)</f>
        <v>-10444298.74</v>
      </c>
      <c r="H453" s="27"/>
      <c r="I453" s="28"/>
      <c r="J453" s="29"/>
      <c r="K453" s="25" t="s">
        <v>29</v>
      </c>
      <c r="L453" s="25" t="s">
        <v>30</v>
      </c>
      <c r="M453" s="25" t="s">
        <v>31</v>
      </c>
      <c r="N453" s="25"/>
      <c r="O453" t="s">
        <v>51</v>
      </c>
      <c r="P453" s="32">
        <v>-462977.04000000004</v>
      </c>
      <c r="Q453" s="30">
        <v>1529816.5</v>
      </c>
      <c r="R453" s="30">
        <v>49000</v>
      </c>
      <c r="S453" s="30" t="s">
        <v>63</v>
      </c>
      <c r="T453" t="s">
        <v>33</v>
      </c>
      <c r="U453" s="31" t="e">
        <v>#N/A</v>
      </c>
      <c r="V453" t="s">
        <v>34</v>
      </c>
      <c r="Y453" t="e">
        <f>VLOOKUP(A453,[2]!PRGX[[#All],[Proveedor]],1,FALSE)</f>
        <v>#REF!</v>
      </c>
    </row>
    <row r="454" spans="1:26" x14ac:dyDescent="0.25">
      <c r="A454" s="25">
        <v>311233</v>
      </c>
      <c r="B454" s="25" t="s">
        <v>491</v>
      </c>
      <c r="C454" s="26">
        <v>66042</v>
      </c>
      <c r="D454" s="27">
        <v>248255446.39399999</v>
      </c>
      <c r="E454" s="27">
        <v>221528154.24399999</v>
      </c>
      <c r="F454" s="27">
        <v>26727292.149999999</v>
      </c>
      <c r="G454" s="27">
        <f>VLOOKUP(A454,'[1]saldos al 26May26'!$C$2:$I$1010,7,FALSE)</f>
        <v>-1171396.77</v>
      </c>
      <c r="H454" s="27"/>
      <c r="I454" s="28"/>
      <c r="J454" s="29"/>
      <c r="K454" s="25" t="s">
        <v>29</v>
      </c>
      <c r="L454" s="25" t="s">
        <v>30</v>
      </c>
      <c r="M454" s="25" t="s">
        <v>59</v>
      </c>
      <c r="N454" s="25"/>
      <c r="O454" t="s">
        <v>45</v>
      </c>
      <c r="P454" s="32">
        <v>-1231027.81</v>
      </c>
      <c r="Q454" s="30">
        <v>96740.64</v>
      </c>
      <c r="R454" s="30"/>
      <c r="S454" s="30">
        <v>0</v>
      </c>
      <c r="T454" t="s">
        <v>33</v>
      </c>
      <c r="U454" s="31" t="e">
        <v>#N/A</v>
      </c>
      <c r="V454" t="s">
        <v>34</v>
      </c>
      <c r="Y454" t="e">
        <f>VLOOKUP(A454,[2]!PRGX[[#All],[Proveedor]],1,FALSE)</f>
        <v>#REF!</v>
      </c>
    </row>
    <row r="455" spans="1:26" x14ac:dyDescent="0.25">
      <c r="A455" s="25">
        <v>23695</v>
      </c>
      <c r="B455" s="25" t="s">
        <v>492</v>
      </c>
      <c r="C455" s="26">
        <v>18267</v>
      </c>
      <c r="D455" s="27">
        <v>247160028.66299999</v>
      </c>
      <c r="E455" s="27">
        <v>235650176.26299998</v>
      </c>
      <c r="F455" s="27">
        <v>11509852.4</v>
      </c>
      <c r="G455" s="27">
        <f>VLOOKUP(A455,'[1]saldos al 26May26'!$C$2:$I$1010,7,FALSE)</f>
        <v>-519422.45</v>
      </c>
      <c r="H455" s="27"/>
      <c r="I455" s="28"/>
      <c r="J455" s="29"/>
      <c r="K455" s="25" t="s">
        <v>29</v>
      </c>
      <c r="L455" s="25" t="s">
        <v>30</v>
      </c>
      <c r="M455" s="25" t="s">
        <v>55</v>
      </c>
      <c r="N455" s="25"/>
      <c r="O455" t="s">
        <v>70</v>
      </c>
      <c r="P455" s="32">
        <v>-1835688.6</v>
      </c>
      <c r="Q455" s="30">
        <v>-17525</v>
      </c>
      <c r="R455" s="30">
        <v>111350</v>
      </c>
      <c r="S455" s="30" t="s">
        <v>63</v>
      </c>
      <c r="T455" t="s">
        <v>33</v>
      </c>
      <c r="U455" s="31" t="e">
        <v>#N/A</v>
      </c>
      <c r="V455" t="s">
        <v>34</v>
      </c>
      <c r="Y455" t="e">
        <f>VLOOKUP(A455,[2]!PRGX[[#All],[Proveedor]],1,FALSE)</f>
        <v>#REF!</v>
      </c>
    </row>
    <row r="456" spans="1:26" x14ac:dyDescent="0.25">
      <c r="A456" s="25">
        <v>55046</v>
      </c>
      <c r="B456" s="25" t="s">
        <v>493</v>
      </c>
      <c r="C456" s="26">
        <v>143527</v>
      </c>
      <c r="D456" s="27">
        <v>246466772.2647</v>
      </c>
      <c r="E456" s="27">
        <v>229195456.51069999</v>
      </c>
      <c r="F456" s="27">
        <v>17271315.754000001</v>
      </c>
      <c r="G456" s="27">
        <f>VLOOKUP(A456,'[1]saldos al 26May26'!$C$2:$I$1010,7,FALSE)</f>
        <v>-1058341.3600000001</v>
      </c>
      <c r="H456" s="27"/>
      <c r="I456" s="28"/>
      <c r="J456" s="29"/>
      <c r="K456" s="25" t="s">
        <v>29</v>
      </c>
      <c r="L456" s="25" t="s">
        <v>30</v>
      </c>
      <c r="M456" s="25" t="s">
        <v>55</v>
      </c>
      <c r="N456" s="25"/>
      <c r="O456" t="s">
        <v>67</v>
      </c>
      <c r="P456" s="32">
        <v>-1864875.2400000002</v>
      </c>
      <c r="Q456" s="30">
        <v>470503.08</v>
      </c>
      <c r="R456" s="30"/>
      <c r="S456" s="30" t="s">
        <v>33</v>
      </c>
      <c r="T456" t="s">
        <v>33</v>
      </c>
      <c r="U456" s="31" t="e">
        <v>#N/A</v>
      </c>
      <c r="V456" t="s">
        <v>34</v>
      </c>
      <c r="Y456" t="e">
        <f>VLOOKUP(A456,[2]!PRGX[[#All],[Proveedor]],1,FALSE)</f>
        <v>#REF!</v>
      </c>
    </row>
    <row r="457" spans="1:26" x14ac:dyDescent="0.25">
      <c r="A457" s="36">
        <v>210676</v>
      </c>
      <c r="B457" s="36" t="s">
        <v>494</v>
      </c>
      <c r="C457" s="36">
        <v>10520</v>
      </c>
      <c r="D457" s="38">
        <v>244562235.0596</v>
      </c>
      <c r="E457" s="38">
        <v>39878914.339599997</v>
      </c>
      <c r="F457" s="38">
        <v>204683320.72</v>
      </c>
      <c r="G457" s="38" t="e">
        <f>VLOOKUP(A457,'[1]saldos al 26May26'!$C$2:$I$1010,7,FALSE)</f>
        <v>#N/A</v>
      </c>
      <c r="H457" s="39" t="s">
        <v>54</v>
      </c>
      <c r="I457" s="40" t="s">
        <v>27</v>
      </c>
      <c r="J457" s="41"/>
      <c r="K457" s="36" t="s">
        <v>29</v>
      </c>
      <c r="L457" s="36" t="s">
        <v>30</v>
      </c>
      <c r="M457" s="36" t="s">
        <v>55</v>
      </c>
      <c r="N457" s="25"/>
      <c r="O457" s="42" t="s">
        <v>47</v>
      </c>
      <c r="P457" s="30">
        <v>80061192.729999989</v>
      </c>
      <c r="Q457" s="30">
        <v>33098803.099999998</v>
      </c>
      <c r="R457" s="30"/>
      <c r="S457" s="30" t="s">
        <v>33</v>
      </c>
      <c r="T457" t="s">
        <v>33</v>
      </c>
      <c r="U457" s="31" t="e">
        <v>#N/A</v>
      </c>
      <c r="V457" t="s">
        <v>34</v>
      </c>
      <c r="Y457" t="e">
        <f>VLOOKUP(A457,[2]!PRGX[[#All],[Proveedor]],1,FALSE)</f>
        <v>#REF!</v>
      </c>
      <c r="Z457">
        <v>210676</v>
      </c>
    </row>
    <row r="458" spans="1:26" x14ac:dyDescent="0.25">
      <c r="A458" s="25">
        <v>193417</v>
      </c>
      <c r="B458" s="25" t="s">
        <v>495</v>
      </c>
      <c r="C458" s="26">
        <v>17909</v>
      </c>
      <c r="D458" s="27">
        <v>243309942.13</v>
      </c>
      <c r="E458" s="27">
        <v>187844381.95999998</v>
      </c>
      <c r="F458" s="27">
        <v>55465560.170000002</v>
      </c>
      <c r="G458" s="27">
        <f>VLOOKUP(A458,'[1]saldos al 26May26'!$C$2:$I$1010,7,FALSE)</f>
        <v>-13681996.720000001</v>
      </c>
      <c r="H458" s="27"/>
      <c r="I458" s="28"/>
      <c r="J458" s="29"/>
      <c r="K458" s="25" t="s">
        <v>29</v>
      </c>
      <c r="L458" s="25" t="s">
        <v>30</v>
      </c>
      <c r="M458" s="25" t="s">
        <v>55</v>
      </c>
      <c r="N458" s="25"/>
      <c r="O458" t="s">
        <v>36</v>
      </c>
      <c r="P458" s="32">
        <v>-260350.35</v>
      </c>
      <c r="Q458" s="30">
        <v>1628.29</v>
      </c>
      <c r="R458" s="30">
        <v>100000</v>
      </c>
      <c r="S458" s="30" t="s">
        <v>33</v>
      </c>
      <c r="T458" t="s">
        <v>33</v>
      </c>
      <c r="U458" s="31" t="e">
        <v>#N/A</v>
      </c>
      <c r="V458" t="s">
        <v>34</v>
      </c>
      <c r="Y458" t="e">
        <f>VLOOKUP(A458,[2]!PRGX[[#All],[Proveedor]],1,FALSE)</f>
        <v>#REF!</v>
      </c>
    </row>
    <row r="459" spans="1:26" x14ac:dyDescent="0.25">
      <c r="A459" s="25">
        <v>3566</v>
      </c>
      <c r="B459" s="25" t="s">
        <v>496</v>
      </c>
      <c r="C459" s="26">
        <v>65801</v>
      </c>
      <c r="D459" s="27">
        <v>243257950.05000001</v>
      </c>
      <c r="E459" s="27">
        <v>218363984.26000002</v>
      </c>
      <c r="F459" s="27">
        <v>24893965.789999999</v>
      </c>
      <c r="G459" s="27">
        <f>VLOOKUP(A459,'[1]saldos al 26May26'!$C$2:$I$1010,7,FALSE)</f>
        <v>-3411169.94</v>
      </c>
      <c r="H459" s="27"/>
      <c r="I459" s="28"/>
      <c r="J459" s="29"/>
      <c r="K459" s="25" t="s">
        <v>29</v>
      </c>
      <c r="L459" s="25" t="s">
        <v>30</v>
      </c>
      <c r="M459" s="25" t="s">
        <v>55</v>
      </c>
      <c r="N459" s="25"/>
      <c r="O459" t="s">
        <v>87</v>
      </c>
      <c r="P459" s="32">
        <v>-215265.21999999997</v>
      </c>
      <c r="Q459" s="30">
        <v>627590.88</v>
      </c>
      <c r="R459" s="30"/>
      <c r="S459" s="30" t="s">
        <v>63</v>
      </c>
      <c r="T459" t="s">
        <v>33</v>
      </c>
      <c r="U459" s="31">
        <v>0</v>
      </c>
      <c r="V459" t="s">
        <v>42</v>
      </c>
      <c r="Y459" t="e">
        <f>VLOOKUP(A459,[2]!PRGX[[#All],[Proveedor]],1,FALSE)</f>
        <v>#REF!</v>
      </c>
    </row>
    <row r="460" spans="1:26" x14ac:dyDescent="0.25">
      <c r="A460" s="25">
        <v>392712</v>
      </c>
      <c r="B460" s="25" t="s">
        <v>497</v>
      </c>
      <c r="C460" s="26">
        <v>4001</v>
      </c>
      <c r="D460" s="27">
        <v>240976219.53040001</v>
      </c>
      <c r="E460" s="27">
        <v>191878611.25040001</v>
      </c>
      <c r="F460" s="27">
        <v>49097608.280000001</v>
      </c>
      <c r="G460" s="27">
        <f>VLOOKUP(A460,'[1]saldos al 26May26'!$C$2:$I$1010,7,FALSE)</f>
        <v>-5314505.5</v>
      </c>
      <c r="H460" s="27"/>
      <c r="I460" s="28"/>
      <c r="J460" s="29"/>
      <c r="K460" s="25" t="s">
        <v>29</v>
      </c>
      <c r="L460" s="25" t="s">
        <v>30</v>
      </c>
      <c r="M460" s="25" t="s">
        <v>50</v>
      </c>
      <c r="N460" s="25"/>
      <c r="O460" t="s">
        <v>32</v>
      </c>
      <c r="P460" s="32">
        <v>-2818222.71</v>
      </c>
      <c r="Q460" s="30">
        <v>0</v>
      </c>
      <c r="R460" s="30">
        <v>92336</v>
      </c>
      <c r="S460" s="30" t="s">
        <v>63</v>
      </c>
      <c r="T460" t="s">
        <v>33</v>
      </c>
      <c r="U460" s="31" t="e">
        <v>#N/A</v>
      </c>
      <c r="V460" t="s">
        <v>34</v>
      </c>
      <c r="Y460" t="e">
        <f>VLOOKUP(A460,[2]!PRGX[[#All],[Proveedor]],1,FALSE)</f>
        <v>#REF!</v>
      </c>
    </row>
    <row r="461" spans="1:26" x14ac:dyDescent="0.25">
      <c r="A461" s="25">
        <v>90407</v>
      </c>
      <c r="B461" s="25" t="s">
        <v>498</v>
      </c>
      <c r="C461" s="26">
        <v>386745</v>
      </c>
      <c r="D461" s="27">
        <v>240951641.80880001</v>
      </c>
      <c r="E461" s="27">
        <v>191166383.6663</v>
      </c>
      <c r="F461" s="27">
        <v>49785258.142499998</v>
      </c>
      <c r="G461" s="27">
        <f>VLOOKUP(A461,'[1]saldos al 26May26'!$C$2:$I$1010,7,FALSE)</f>
        <v>-3141857.95</v>
      </c>
      <c r="H461" s="27"/>
      <c r="I461" s="28"/>
      <c r="J461" s="29"/>
      <c r="K461" s="25" t="s">
        <v>29</v>
      </c>
      <c r="L461" s="25" t="s">
        <v>30</v>
      </c>
      <c r="M461" s="25" t="s">
        <v>59</v>
      </c>
      <c r="N461" s="25"/>
      <c r="O461" t="s">
        <v>36</v>
      </c>
      <c r="P461" s="30">
        <v>7088721.5700000003</v>
      </c>
      <c r="Q461" s="30">
        <v>110253.42</v>
      </c>
      <c r="R461" s="30"/>
      <c r="S461" s="30" t="s">
        <v>33</v>
      </c>
      <c r="T461" t="s">
        <v>33</v>
      </c>
      <c r="U461" s="31" t="s">
        <v>33</v>
      </c>
      <c r="V461" t="s">
        <v>33</v>
      </c>
      <c r="Y461" t="e">
        <f>VLOOKUP(A461,[2]!PRGX[[#All],[Proveedor]],1,FALSE)</f>
        <v>#REF!</v>
      </c>
    </row>
    <row r="462" spans="1:26" x14ac:dyDescent="0.25">
      <c r="A462" s="25">
        <v>34801</v>
      </c>
      <c r="B462" s="25" t="s">
        <v>499</v>
      </c>
      <c r="C462" s="26">
        <v>9426</v>
      </c>
      <c r="D462" s="27">
        <v>240182809</v>
      </c>
      <c r="E462" s="27">
        <v>208460329</v>
      </c>
      <c r="F462" s="27">
        <v>31722480</v>
      </c>
      <c r="G462" s="27">
        <f>VLOOKUP(A462,'[1]saldos al 26May26'!$C$2:$I$1010,7,FALSE)</f>
        <v>-23602238.969999999</v>
      </c>
      <c r="H462" s="27"/>
      <c r="I462" s="28"/>
      <c r="J462" s="29"/>
      <c r="K462" s="25" t="s">
        <v>29</v>
      </c>
      <c r="L462" s="25" t="s">
        <v>30</v>
      </c>
      <c r="M462" s="25" t="s">
        <v>59</v>
      </c>
      <c r="N462" s="25"/>
      <c r="O462" t="s">
        <v>67</v>
      </c>
      <c r="P462" s="32">
        <v>-61728.24</v>
      </c>
      <c r="Q462" s="30">
        <v>-61728.24</v>
      </c>
      <c r="R462" s="30">
        <v>15085</v>
      </c>
      <c r="S462" s="30" t="s">
        <v>33</v>
      </c>
      <c r="T462" t="s">
        <v>33</v>
      </c>
      <c r="U462" s="31">
        <v>0</v>
      </c>
      <c r="V462" t="s">
        <v>42</v>
      </c>
      <c r="Y462" t="e">
        <f>VLOOKUP(A462,[2]!PRGX[[#All],[Proveedor]],1,FALSE)</f>
        <v>#REF!</v>
      </c>
    </row>
    <row r="463" spans="1:26" x14ac:dyDescent="0.25">
      <c r="A463" s="25">
        <v>311159</v>
      </c>
      <c r="B463" s="25" t="s">
        <v>500</v>
      </c>
      <c r="C463" s="26">
        <v>50709</v>
      </c>
      <c r="D463" s="27">
        <v>240166903.37</v>
      </c>
      <c r="E463" s="27">
        <v>192698290.94999999</v>
      </c>
      <c r="F463" s="27">
        <v>47468612.420000002</v>
      </c>
      <c r="G463" s="27">
        <f>VLOOKUP(A463,'[1]saldos al 26May26'!$C$2:$I$1010,7,FALSE)</f>
        <v>-11360857.93</v>
      </c>
      <c r="H463" s="27"/>
      <c r="I463" s="28"/>
      <c r="J463" s="29"/>
      <c r="K463" s="25" t="s">
        <v>29</v>
      </c>
      <c r="L463" s="25" t="s">
        <v>30</v>
      </c>
      <c r="M463" s="25" t="s">
        <v>55</v>
      </c>
      <c r="N463" s="25"/>
      <c r="O463" t="s">
        <v>38</v>
      </c>
      <c r="P463" s="30">
        <v>45268.2</v>
      </c>
      <c r="Q463" s="30">
        <v>1625193.51</v>
      </c>
      <c r="R463" s="30"/>
      <c r="S463" s="30" t="s">
        <v>63</v>
      </c>
      <c r="T463" t="s">
        <v>33</v>
      </c>
      <c r="U463" s="31" t="e">
        <v>#N/A</v>
      </c>
      <c r="V463" t="s">
        <v>34</v>
      </c>
      <c r="Y463" t="e">
        <f>VLOOKUP(A463,[2]!PRGX[[#All],[Proveedor]],1,FALSE)</f>
        <v>#REF!</v>
      </c>
    </row>
    <row r="464" spans="1:26" x14ac:dyDescent="0.25">
      <c r="A464" s="25">
        <v>309807</v>
      </c>
      <c r="B464" s="25" t="s">
        <v>501</v>
      </c>
      <c r="C464" s="26">
        <v>36410</v>
      </c>
      <c r="D464" s="27">
        <v>240030932.86000001</v>
      </c>
      <c r="E464" s="27">
        <v>221556230.40000001</v>
      </c>
      <c r="F464" s="27">
        <v>18474702.460000001</v>
      </c>
      <c r="G464" s="27">
        <f>VLOOKUP(A464,'[1]saldos al 26May26'!$C$2:$I$1010,7,FALSE)</f>
        <v>-9353976.3000000007</v>
      </c>
      <c r="H464" s="27"/>
      <c r="I464" s="28"/>
      <c r="J464" s="29"/>
      <c r="K464" s="25" t="s">
        <v>29</v>
      </c>
      <c r="L464" s="25" t="s">
        <v>30</v>
      </c>
      <c r="M464" s="25" t="s">
        <v>55</v>
      </c>
      <c r="N464" s="25"/>
      <c r="O464" t="s">
        <v>67</v>
      </c>
      <c r="P464" s="30">
        <v>754138.72999999986</v>
      </c>
      <c r="Q464" s="30">
        <v>140722.32</v>
      </c>
      <c r="R464" s="30">
        <v>23238</v>
      </c>
      <c r="S464" s="30" t="s">
        <v>63</v>
      </c>
      <c r="T464" t="s">
        <v>33</v>
      </c>
      <c r="U464" s="31" t="e">
        <v>#N/A</v>
      </c>
      <c r="V464" t="s">
        <v>34</v>
      </c>
      <c r="Y464" t="e">
        <f>VLOOKUP(A464,[2]!PRGX[[#All],[Proveedor]],1,FALSE)</f>
        <v>#REF!</v>
      </c>
    </row>
    <row r="465" spans="1:26" x14ac:dyDescent="0.25">
      <c r="A465" s="25">
        <v>11619</v>
      </c>
      <c r="B465" s="25" t="s">
        <v>502</v>
      </c>
      <c r="C465" s="26">
        <v>20141</v>
      </c>
      <c r="D465" s="27">
        <v>239976142.96000001</v>
      </c>
      <c r="E465" s="27">
        <v>221769413.05000001</v>
      </c>
      <c r="F465" s="27">
        <v>18206729.91</v>
      </c>
      <c r="G465" s="27">
        <f>VLOOKUP(A465,'[1]saldos al 26May26'!$C$2:$I$1010,7,FALSE)</f>
        <v>-6474532.9699999997</v>
      </c>
      <c r="H465" s="27"/>
      <c r="I465" s="28"/>
      <c r="J465" s="29">
        <v>743381.87914225296</v>
      </c>
      <c r="K465" s="25" t="s">
        <v>40</v>
      </c>
      <c r="L465" s="25" t="s">
        <v>30</v>
      </c>
      <c r="M465" s="25" t="s">
        <v>61</v>
      </c>
      <c r="N465" s="25" t="s">
        <v>41</v>
      </c>
      <c r="O465" t="s">
        <v>41</v>
      </c>
      <c r="P465" s="30">
        <v>359076.22</v>
      </c>
      <c r="Q465" s="30">
        <v>3096154.67</v>
      </c>
      <c r="R465" s="30"/>
      <c r="S465" s="30" t="s">
        <v>63</v>
      </c>
      <c r="T465" t="s">
        <v>33</v>
      </c>
      <c r="U465" s="31" t="s">
        <v>33</v>
      </c>
      <c r="V465" t="s">
        <v>33</v>
      </c>
      <c r="Y465" t="e">
        <f>VLOOKUP(A465,[2]!PRGX[[#All],[Proveedor]],1,FALSE)</f>
        <v>#REF!</v>
      </c>
    </row>
    <row r="466" spans="1:26" x14ac:dyDescent="0.25">
      <c r="A466" s="25">
        <v>380857</v>
      </c>
      <c r="B466" s="25" t="s">
        <v>503</v>
      </c>
      <c r="C466" s="26">
        <v>3604</v>
      </c>
      <c r="D466" s="27">
        <v>239604087.10229999</v>
      </c>
      <c r="E466" s="27">
        <v>184120355.72389999</v>
      </c>
      <c r="F466" s="27">
        <v>55483731.378399998</v>
      </c>
      <c r="G466" s="27">
        <f>VLOOKUP(A466,'[1]saldos al 26May26'!$C$2:$I$1010,7,FALSE)</f>
        <v>-5472813.1799999997</v>
      </c>
      <c r="H466" s="27"/>
      <c r="I466" s="28"/>
      <c r="J466" s="29"/>
      <c r="K466" s="25" t="s">
        <v>29</v>
      </c>
      <c r="L466" s="25" t="s">
        <v>30</v>
      </c>
      <c r="M466" s="25" t="s">
        <v>59</v>
      </c>
      <c r="N466" s="25"/>
      <c r="O466" s="43" t="s">
        <v>41</v>
      </c>
      <c r="P466" s="32">
        <v>-418249.61</v>
      </c>
      <c r="Q466" s="30">
        <v>0</v>
      </c>
      <c r="R466" s="30">
        <v>59055</v>
      </c>
      <c r="S466" s="30" t="s">
        <v>63</v>
      </c>
      <c r="T466" t="s">
        <v>33</v>
      </c>
      <c r="U466" s="31" t="e">
        <v>#N/A</v>
      </c>
      <c r="V466" t="s">
        <v>34</v>
      </c>
      <c r="Y466" t="e">
        <f>VLOOKUP(A466,[2]!PRGX[[#All],[Proveedor]],1,FALSE)</f>
        <v>#REF!</v>
      </c>
    </row>
    <row r="467" spans="1:26" x14ac:dyDescent="0.25">
      <c r="A467" s="25">
        <v>10348</v>
      </c>
      <c r="B467" s="25" t="s">
        <v>504</v>
      </c>
      <c r="C467" s="26">
        <v>36947</v>
      </c>
      <c r="D467" s="27">
        <v>238511913.47999999</v>
      </c>
      <c r="E467" s="27">
        <v>204872827.27999997</v>
      </c>
      <c r="F467" s="27">
        <v>33639086.200000003</v>
      </c>
      <c r="G467" s="27">
        <f>VLOOKUP(A467,'[1]saldos al 26May26'!$C$2:$I$1010,7,FALSE)</f>
        <v>-14884791.800000001</v>
      </c>
      <c r="H467" s="27"/>
      <c r="I467" s="28"/>
      <c r="J467" s="29">
        <v>153005.07748069701</v>
      </c>
      <c r="K467" s="25" t="s">
        <v>40</v>
      </c>
      <c r="L467" s="25" t="s">
        <v>30</v>
      </c>
      <c r="M467" s="25" t="s">
        <v>50</v>
      </c>
      <c r="N467" s="25" t="s">
        <v>70</v>
      </c>
      <c r="O467" t="s">
        <v>70</v>
      </c>
      <c r="P467" s="32">
        <v>-25154954.760000002</v>
      </c>
      <c r="Q467" s="30">
        <v>0</v>
      </c>
      <c r="R467" s="30">
        <v>11769.74</v>
      </c>
      <c r="S467" s="30" t="s">
        <v>63</v>
      </c>
      <c r="T467" t="s">
        <v>33</v>
      </c>
      <c r="U467" s="31">
        <v>0</v>
      </c>
      <c r="V467" t="s">
        <v>42</v>
      </c>
      <c r="Y467" t="e">
        <f>VLOOKUP(A467,[2]!PRGX[[#All],[Proveedor]],1,FALSE)</f>
        <v>#REF!</v>
      </c>
    </row>
    <row r="468" spans="1:26" x14ac:dyDescent="0.25">
      <c r="A468" s="25">
        <v>24758</v>
      </c>
      <c r="B468" s="25" t="s">
        <v>505</v>
      </c>
      <c r="C468" s="26">
        <v>1577</v>
      </c>
      <c r="D468" s="27">
        <v>237254676.45649999</v>
      </c>
      <c r="E468" s="27">
        <v>179240297.75999999</v>
      </c>
      <c r="F468" s="27">
        <v>58014378.696500003</v>
      </c>
      <c r="G468" s="27">
        <f>VLOOKUP(A468,'[1]saldos al 26May26'!$C$2:$I$1010,7,FALSE)</f>
        <v>-447160</v>
      </c>
      <c r="H468" s="27"/>
      <c r="I468" s="28" t="s">
        <v>27</v>
      </c>
      <c r="J468" s="29"/>
      <c r="K468" s="25" t="s">
        <v>29</v>
      </c>
      <c r="L468" s="25" t="s">
        <v>30</v>
      </c>
      <c r="M468" s="25" t="s">
        <v>55</v>
      </c>
      <c r="N468" s="25"/>
      <c r="O468" t="s">
        <v>70</v>
      </c>
      <c r="P468" s="32">
        <v>-176.7</v>
      </c>
      <c r="Q468" s="30">
        <v>0</v>
      </c>
      <c r="R468" s="30"/>
      <c r="S468" s="30" t="s">
        <v>33</v>
      </c>
      <c r="T468" t="s">
        <v>33</v>
      </c>
      <c r="U468" s="31" t="e">
        <v>#N/A</v>
      </c>
      <c r="V468" t="s">
        <v>34</v>
      </c>
      <c r="Y468" t="e">
        <f>VLOOKUP(A468,[2]!PRGX[[#All],[Proveedor]],1,FALSE)</f>
        <v>#REF!</v>
      </c>
      <c r="Z468">
        <v>24758</v>
      </c>
    </row>
    <row r="469" spans="1:26" x14ac:dyDescent="0.25">
      <c r="A469" s="25">
        <v>52449</v>
      </c>
      <c r="B469" s="25" t="s">
        <v>209</v>
      </c>
      <c r="C469" s="26">
        <v>21219</v>
      </c>
      <c r="D469" s="27">
        <v>236130442.588</v>
      </c>
      <c r="E469" s="27">
        <v>216627678.088</v>
      </c>
      <c r="F469" s="27">
        <v>19502764.5</v>
      </c>
      <c r="G469" s="27">
        <f>VLOOKUP(A469,'[1]saldos al 26May26'!$C$2:$I$1010,7,FALSE)</f>
        <v>-706370.64</v>
      </c>
      <c r="H469" s="27"/>
      <c r="I469" s="28"/>
      <c r="J469" s="29"/>
      <c r="K469" s="25" t="s">
        <v>29</v>
      </c>
      <c r="L469" s="25" t="s">
        <v>30</v>
      </c>
      <c r="M469" s="25" t="s">
        <v>55</v>
      </c>
      <c r="N469" s="25"/>
      <c r="O469" t="s">
        <v>67</v>
      </c>
      <c r="P469" s="32">
        <v>-239497.25999999995</v>
      </c>
      <c r="Q469" s="30">
        <v>0</v>
      </c>
      <c r="R469" s="30"/>
      <c r="S469" s="30">
        <v>0</v>
      </c>
      <c r="T469" t="s">
        <v>33</v>
      </c>
      <c r="U469" s="31">
        <v>0</v>
      </c>
      <c r="V469" t="s">
        <v>42</v>
      </c>
      <c r="Y469" t="e">
        <f>VLOOKUP(A469,[2]!PRGX[[#All],[Proveedor]],1,FALSE)</f>
        <v>#REF!</v>
      </c>
    </row>
    <row r="470" spans="1:26" x14ac:dyDescent="0.25">
      <c r="A470" s="25">
        <v>334078</v>
      </c>
      <c r="B470" s="25" t="s">
        <v>506</v>
      </c>
      <c r="C470" s="26">
        <v>5666</v>
      </c>
      <c r="D470" s="27">
        <v>236048845.72679999</v>
      </c>
      <c r="E470" s="27">
        <v>214464425.32679999</v>
      </c>
      <c r="F470" s="27">
        <v>21584420.399999999</v>
      </c>
      <c r="G470" s="27">
        <f>VLOOKUP(A470,'[1]saldos al 26May26'!$C$2:$I$1010,7,FALSE)</f>
        <v>-37607.64</v>
      </c>
      <c r="H470" s="27"/>
      <c r="I470" s="28"/>
      <c r="J470" s="29"/>
      <c r="K470" s="25" t="s">
        <v>29</v>
      </c>
      <c r="L470" s="25" t="s">
        <v>30</v>
      </c>
      <c r="M470" s="25" t="s">
        <v>31</v>
      </c>
      <c r="N470" s="25"/>
      <c r="O470" t="s">
        <v>47</v>
      </c>
      <c r="P470" s="32">
        <v>-1714056.52</v>
      </c>
      <c r="Q470" s="30">
        <v>-208723.4</v>
      </c>
      <c r="R470" s="30"/>
      <c r="S470" s="30" t="s">
        <v>63</v>
      </c>
      <c r="T470" t="s">
        <v>33</v>
      </c>
      <c r="U470" s="31" t="e">
        <v>#N/A</v>
      </c>
      <c r="V470" t="s">
        <v>34</v>
      </c>
      <c r="Y470" t="e">
        <f>VLOOKUP(A470,[2]!PRGX[[#All],[Proveedor]],1,FALSE)</f>
        <v>#REF!</v>
      </c>
    </row>
    <row r="471" spans="1:26" x14ac:dyDescent="0.25">
      <c r="A471" s="25">
        <v>152561</v>
      </c>
      <c r="B471" s="25" t="s">
        <v>507</v>
      </c>
      <c r="C471" s="26">
        <v>22923</v>
      </c>
      <c r="D471" s="27">
        <v>235466210.13999999</v>
      </c>
      <c r="E471" s="27">
        <v>210607371.36999997</v>
      </c>
      <c r="F471" s="27">
        <v>24858838.77</v>
      </c>
      <c r="G471" s="27">
        <f>VLOOKUP(A471,'[1]saldos al 26May26'!$C$2:$I$1010,7,FALSE)</f>
        <v>-11233510.189999999</v>
      </c>
      <c r="H471" s="27"/>
      <c r="I471" s="28"/>
      <c r="J471" s="29"/>
      <c r="K471" s="25" t="s">
        <v>29</v>
      </c>
      <c r="L471" s="25" t="s">
        <v>30</v>
      </c>
      <c r="M471" s="25" t="s">
        <v>31</v>
      </c>
      <c r="N471" s="25"/>
      <c r="O471" t="s">
        <v>70</v>
      </c>
      <c r="P471" s="30">
        <v>7726.6599999999962</v>
      </c>
      <c r="Q471" s="30">
        <v>447237.51</v>
      </c>
      <c r="R471" s="30"/>
      <c r="S471" s="30" t="s">
        <v>63</v>
      </c>
      <c r="T471" t="s">
        <v>33</v>
      </c>
      <c r="U471" s="31">
        <v>0</v>
      </c>
      <c r="V471" t="s">
        <v>42</v>
      </c>
      <c r="Y471" t="e">
        <f>VLOOKUP(A471,[2]!PRGX[[#All],[Proveedor]],1,FALSE)</f>
        <v>#REF!</v>
      </c>
    </row>
    <row r="472" spans="1:26" x14ac:dyDescent="0.25">
      <c r="A472" s="25">
        <v>666</v>
      </c>
      <c r="B472" s="25" t="s">
        <v>508</v>
      </c>
      <c r="C472" s="26">
        <v>3733</v>
      </c>
      <c r="D472" s="27">
        <v>74051753.120000005</v>
      </c>
      <c r="E472" s="27">
        <v>58039063.060000002</v>
      </c>
      <c r="F472" s="27">
        <v>16012690.060000001</v>
      </c>
      <c r="G472" s="27">
        <f>VLOOKUP(A472,'[1]saldos al 26May26'!$C$2:$I$1010,7,FALSE)</f>
        <v>-1600066.88</v>
      </c>
      <c r="H472" s="27"/>
      <c r="I472" s="28"/>
      <c r="J472" s="29">
        <v>71878.931873413007</v>
      </c>
      <c r="K472" s="25" t="s">
        <v>40</v>
      </c>
      <c r="L472" s="25" t="s">
        <v>30</v>
      </c>
      <c r="M472" s="25" t="s">
        <v>31</v>
      </c>
      <c r="N472" s="25" t="s">
        <v>56</v>
      </c>
      <c r="O472" t="s">
        <v>56</v>
      </c>
      <c r="P472" s="30">
        <v>12117.359999999997</v>
      </c>
      <c r="Q472" s="30">
        <v>0</v>
      </c>
      <c r="R472" s="30"/>
      <c r="S472" s="30" t="e">
        <v>#N/A</v>
      </c>
      <c r="T472" t="s">
        <v>34</v>
      </c>
      <c r="U472" s="31">
        <v>0</v>
      </c>
      <c r="V472" t="s">
        <v>42</v>
      </c>
      <c r="Y472" t="e">
        <f>VLOOKUP(A472,[2]!PRGX[[#All],[Proveedor]],1,FALSE)</f>
        <v>#REF!</v>
      </c>
    </row>
    <row r="473" spans="1:26" x14ac:dyDescent="0.25">
      <c r="A473" s="25">
        <v>11160</v>
      </c>
      <c r="B473" s="25" t="s">
        <v>509</v>
      </c>
      <c r="C473" s="26">
        <v>50120</v>
      </c>
      <c r="D473" s="27">
        <v>126992336.92200001</v>
      </c>
      <c r="E473" s="27">
        <v>107611591.78200001</v>
      </c>
      <c r="F473" s="27">
        <v>19380745.140000001</v>
      </c>
      <c r="G473" s="27">
        <f>VLOOKUP(A473,'[1]saldos al 26May26'!$C$2:$I$1010,7,FALSE)</f>
        <v>-3993505.12</v>
      </c>
      <c r="H473" s="27"/>
      <c r="I473" s="28"/>
      <c r="J473" s="29">
        <v>65673.813360875502</v>
      </c>
      <c r="K473" s="25" t="s">
        <v>40</v>
      </c>
      <c r="L473" s="25" t="s">
        <v>30</v>
      </c>
      <c r="M473" s="25" t="s">
        <v>31</v>
      </c>
      <c r="N473" s="25" t="s">
        <v>56</v>
      </c>
      <c r="O473" t="s">
        <v>56</v>
      </c>
      <c r="P473" s="30">
        <v>219099.46</v>
      </c>
      <c r="Q473" s="30">
        <v>45140.93</v>
      </c>
      <c r="R473" s="30">
        <v>214424.5</v>
      </c>
      <c r="S473" s="30" t="e">
        <v>#N/A</v>
      </c>
      <c r="T473" t="s">
        <v>34</v>
      </c>
      <c r="U473" s="31">
        <v>0</v>
      </c>
      <c r="V473" t="s">
        <v>42</v>
      </c>
      <c r="Y473" t="e">
        <f>VLOOKUP(A473,[2]!PRGX[[#All],[Proveedor]],1,FALSE)</f>
        <v>#REF!</v>
      </c>
    </row>
    <row r="474" spans="1:26" x14ac:dyDescent="0.25">
      <c r="A474" s="25">
        <v>25058</v>
      </c>
      <c r="B474" s="25" t="s">
        <v>510</v>
      </c>
      <c r="C474" s="26">
        <v>2876</v>
      </c>
      <c r="D474" s="27">
        <v>13790466.800000001</v>
      </c>
      <c r="E474" s="27">
        <v>8743324.2600000016</v>
      </c>
      <c r="F474" s="27">
        <v>5047142.54</v>
      </c>
      <c r="G474" s="27">
        <f>VLOOKUP(A474,'[1]saldos al 26May26'!$C$2:$I$1010,7,FALSE)</f>
        <v>-291538.82</v>
      </c>
      <c r="H474" s="27"/>
      <c r="I474" s="28"/>
      <c r="J474" s="29">
        <v>48430.676464352997</v>
      </c>
      <c r="K474" s="25" t="s">
        <v>40</v>
      </c>
      <c r="L474" s="25" t="s">
        <v>30</v>
      </c>
      <c r="M474" s="25" t="s">
        <v>31</v>
      </c>
      <c r="N474" s="25" t="s">
        <v>56</v>
      </c>
      <c r="O474" t="s">
        <v>56</v>
      </c>
      <c r="P474" s="32">
        <v>-3997.82</v>
      </c>
      <c r="Q474" s="30">
        <v>0</v>
      </c>
      <c r="R474" s="30"/>
      <c r="S474" s="30" t="e">
        <v>#N/A</v>
      </c>
      <c r="T474" t="s">
        <v>34</v>
      </c>
      <c r="U474" s="31" t="e">
        <v>#N/A</v>
      </c>
      <c r="V474" t="s">
        <v>34</v>
      </c>
      <c r="Y474" t="e">
        <f>VLOOKUP(A474,[2]!PRGX[[#All],[Proveedor]],1,FALSE)</f>
        <v>#REF!</v>
      </c>
    </row>
    <row r="475" spans="1:26" x14ac:dyDescent="0.25">
      <c r="A475" s="25">
        <v>8599</v>
      </c>
      <c r="B475" s="25" t="s">
        <v>511</v>
      </c>
      <c r="C475" s="26">
        <v>11205</v>
      </c>
      <c r="D475" s="27">
        <v>230431422.2696</v>
      </c>
      <c r="E475" s="27">
        <v>201067696.66960001</v>
      </c>
      <c r="F475" s="27">
        <v>29363725.600000001</v>
      </c>
      <c r="G475" s="27">
        <f>VLOOKUP(A475,'[1]saldos al 26May26'!$C$2:$I$1010,7,FALSE)</f>
        <v>-3403607.78</v>
      </c>
      <c r="H475" s="27"/>
      <c r="I475" s="28"/>
      <c r="J475" s="29"/>
      <c r="K475" s="25" t="s">
        <v>29</v>
      </c>
      <c r="L475" s="25" t="s">
        <v>30</v>
      </c>
      <c r="M475" s="25" t="s">
        <v>50</v>
      </c>
      <c r="N475" s="25"/>
      <c r="O475" t="s">
        <v>67</v>
      </c>
      <c r="P475" s="30">
        <v>6469612.0799999991</v>
      </c>
      <c r="Q475" s="30">
        <v>69157.399999999994</v>
      </c>
      <c r="R475" s="30">
        <v>86946.3</v>
      </c>
      <c r="S475" s="30" t="s">
        <v>63</v>
      </c>
      <c r="T475" t="s">
        <v>33</v>
      </c>
      <c r="U475" s="31" t="e">
        <v>#N/A</v>
      </c>
      <c r="V475" t="s">
        <v>34</v>
      </c>
      <c r="Y475" t="e">
        <f>VLOOKUP(A475,[2]!PRGX[[#All],[Proveedor]],1,FALSE)</f>
        <v>#REF!</v>
      </c>
    </row>
    <row r="476" spans="1:26" x14ac:dyDescent="0.25">
      <c r="A476" s="25">
        <v>302406</v>
      </c>
      <c r="B476" s="25" t="s">
        <v>512</v>
      </c>
      <c r="C476" s="26">
        <v>20324</v>
      </c>
      <c r="D476" s="27">
        <v>230352208</v>
      </c>
      <c r="E476" s="27">
        <v>194802123</v>
      </c>
      <c r="F476" s="27">
        <v>35550085</v>
      </c>
      <c r="G476" s="27">
        <f>VLOOKUP(A476,'[1]saldos al 26May26'!$C$2:$I$1010,7,FALSE)</f>
        <v>-7094458.9100000001</v>
      </c>
      <c r="H476" s="27"/>
      <c r="I476" s="28"/>
      <c r="J476" s="29"/>
      <c r="K476" s="25" t="s">
        <v>29</v>
      </c>
      <c r="L476" s="25" t="s">
        <v>30</v>
      </c>
      <c r="M476" s="25" t="s">
        <v>59</v>
      </c>
      <c r="N476" s="25"/>
      <c r="O476" t="s">
        <v>96</v>
      </c>
      <c r="P476" s="30">
        <v>384720.36</v>
      </c>
      <c r="Q476" s="30">
        <v>0</v>
      </c>
      <c r="R476" s="30"/>
      <c r="S476" s="30" t="s">
        <v>33</v>
      </c>
      <c r="T476" t="s">
        <v>33</v>
      </c>
      <c r="U476" s="31" t="e">
        <v>#N/A</v>
      </c>
      <c r="V476" t="s">
        <v>34</v>
      </c>
      <c r="Y476" t="e">
        <f>VLOOKUP(A476,[2]!PRGX[[#All],[Proveedor]],1,FALSE)</f>
        <v>#REF!</v>
      </c>
    </row>
    <row r="477" spans="1:26" x14ac:dyDescent="0.25">
      <c r="A477" s="25">
        <v>99960</v>
      </c>
      <c r="B477" s="25" t="s">
        <v>513</v>
      </c>
      <c r="C477" s="26">
        <v>12367</v>
      </c>
      <c r="D477" s="27">
        <v>229971670.9876</v>
      </c>
      <c r="E477" s="27">
        <v>185585929.82999998</v>
      </c>
      <c r="F477" s="27">
        <v>44385741.157600001</v>
      </c>
      <c r="G477" s="27">
        <f>VLOOKUP(A477,'[1]saldos al 26May26'!$C$2:$I$1010,7,FALSE)</f>
        <v>-1528206.38</v>
      </c>
      <c r="H477" s="27"/>
      <c r="I477" s="28"/>
      <c r="J477" s="29"/>
      <c r="K477" s="25" t="s">
        <v>29</v>
      </c>
      <c r="L477" s="25" t="s">
        <v>30</v>
      </c>
      <c r="M477" s="25" t="s">
        <v>59</v>
      </c>
      <c r="N477" s="25"/>
      <c r="O477" t="s">
        <v>67</v>
      </c>
      <c r="P477" s="30">
        <v>2109.9799999999959</v>
      </c>
      <c r="Q477" s="30">
        <v>711118.85</v>
      </c>
      <c r="R477" s="30">
        <v>50000</v>
      </c>
      <c r="S477" s="30">
        <v>0</v>
      </c>
      <c r="T477" t="s">
        <v>33</v>
      </c>
      <c r="U477" s="31" t="e">
        <v>#N/A</v>
      </c>
      <c r="V477" t="s">
        <v>34</v>
      </c>
      <c r="Y477" t="e">
        <f>VLOOKUP(A477,[2]!PRGX[[#All],[Proveedor]],1,FALSE)</f>
        <v>#REF!</v>
      </c>
    </row>
    <row r="478" spans="1:26" x14ac:dyDescent="0.25">
      <c r="A478" s="25">
        <v>40949</v>
      </c>
      <c r="B478" s="25" t="s">
        <v>514</v>
      </c>
      <c r="C478" s="26">
        <v>6635</v>
      </c>
      <c r="D478" s="27">
        <v>229209755.04100001</v>
      </c>
      <c r="E478" s="27">
        <v>192339674.98100001</v>
      </c>
      <c r="F478" s="27">
        <v>36870080.060000002</v>
      </c>
      <c r="G478" s="27">
        <f>VLOOKUP(A478,'[1]saldos al 26May26'!$C$2:$I$1010,7,FALSE)</f>
        <v>-2185960.61</v>
      </c>
      <c r="H478" s="27"/>
      <c r="I478" s="28"/>
      <c r="J478" s="29">
        <v>72441.986478975989</v>
      </c>
      <c r="K478" s="25" t="s">
        <v>40</v>
      </c>
      <c r="L478" s="25" t="s">
        <v>30</v>
      </c>
      <c r="M478" s="25" t="s">
        <v>31</v>
      </c>
      <c r="N478" s="25" t="s">
        <v>51</v>
      </c>
      <c r="O478" t="s">
        <v>51</v>
      </c>
      <c r="P478" s="32">
        <v>-330481.44</v>
      </c>
      <c r="Q478" s="30">
        <v>42955.64</v>
      </c>
      <c r="R478" s="30">
        <v>1095268.73</v>
      </c>
      <c r="S478" s="30" t="e">
        <v>#N/A</v>
      </c>
      <c r="T478" t="s">
        <v>34</v>
      </c>
      <c r="U478" s="31">
        <v>0</v>
      </c>
      <c r="V478" t="s">
        <v>42</v>
      </c>
      <c r="Y478" t="e">
        <f>VLOOKUP(A478,[2]!PRGX[[#All],[Proveedor]],1,FALSE)</f>
        <v>#REF!</v>
      </c>
    </row>
    <row r="479" spans="1:26" x14ac:dyDescent="0.25">
      <c r="A479" s="25">
        <v>24687</v>
      </c>
      <c r="B479" s="25" t="s">
        <v>515</v>
      </c>
      <c r="C479" s="26">
        <v>21399</v>
      </c>
      <c r="D479" s="27">
        <v>227590252.34</v>
      </c>
      <c r="E479" s="27">
        <v>209433477.64000002</v>
      </c>
      <c r="F479" s="27">
        <v>18156774.699999999</v>
      </c>
      <c r="G479" s="27">
        <f>VLOOKUP(A479,'[1]saldos al 26May26'!$C$2:$I$1010,7,FALSE)</f>
        <v>-1877943.51</v>
      </c>
      <c r="H479" s="27"/>
      <c r="I479" s="28"/>
      <c r="J479" s="29"/>
      <c r="K479" s="25" t="s">
        <v>29</v>
      </c>
      <c r="L479" s="25" t="s">
        <v>30</v>
      </c>
      <c r="M479" s="25" t="s">
        <v>50</v>
      </c>
      <c r="N479" s="25"/>
      <c r="O479" t="s">
        <v>38</v>
      </c>
      <c r="P479" s="32">
        <v>-475653.9</v>
      </c>
      <c r="Q479" s="30">
        <v>0</v>
      </c>
      <c r="R479" s="30">
        <v>65000</v>
      </c>
      <c r="S479" s="30" t="s">
        <v>33</v>
      </c>
      <c r="T479" t="s">
        <v>33</v>
      </c>
      <c r="U479" s="31" t="e">
        <v>#N/A</v>
      </c>
      <c r="V479" t="s">
        <v>34</v>
      </c>
      <c r="Y479" t="e">
        <f>VLOOKUP(A479,[2]!PRGX[[#All],[Proveedor]],1,FALSE)</f>
        <v>#REF!</v>
      </c>
    </row>
    <row r="480" spans="1:26" x14ac:dyDescent="0.25">
      <c r="A480" s="25">
        <v>327148</v>
      </c>
      <c r="B480" s="25" t="s">
        <v>516</v>
      </c>
      <c r="C480" s="26">
        <v>4572</v>
      </c>
      <c r="D480" s="27">
        <v>227300943.88999999</v>
      </c>
      <c r="E480" s="27">
        <v>178400320.94999999</v>
      </c>
      <c r="F480" s="27">
        <v>48900622.939999998</v>
      </c>
      <c r="G480" s="27">
        <f>VLOOKUP(A480,'[1]saldos al 26May26'!$C$2:$I$1010,7,FALSE)</f>
        <v>-1311402.58</v>
      </c>
      <c r="H480" s="27"/>
      <c r="I480" s="28"/>
      <c r="J480" s="29">
        <v>1147255.1752284318</v>
      </c>
      <c r="K480" s="25" t="s">
        <v>40</v>
      </c>
      <c r="L480" s="25" t="s">
        <v>30</v>
      </c>
      <c r="M480" s="25" t="s">
        <v>61</v>
      </c>
      <c r="N480" s="25" t="s">
        <v>47</v>
      </c>
      <c r="O480" t="s">
        <v>47</v>
      </c>
      <c r="P480" s="32">
        <v>-348135.1</v>
      </c>
      <c r="Q480" s="30">
        <v>0</v>
      </c>
      <c r="R480" s="30"/>
      <c r="S480" s="30" t="s">
        <v>63</v>
      </c>
      <c r="T480" t="s">
        <v>33</v>
      </c>
      <c r="U480" s="31" t="e">
        <v>#N/A</v>
      </c>
      <c r="V480" t="s">
        <v>33</v>
      </c>
      <c r="Y480" t="e">
        <f>VLOOKUP(A480,[2]!PRGX[[#All],[Proveedor]],1,FALSE)</f>
        <v>#REF!</v>
      </c>
    </row>
    <row r="481" spans="1:25" x14ac:dyDescent="0.25">
      <c r="A481" s="25">
        <v>23473</v>
      </c>
      <c r="B481" s="25" t="s">
        <v>517</v>
      </c>
      <c r="C481" s="26">
        <v>1752</v>
      </c>
      <c r="D481" s="27">
        <v>226949655.5</v>
      </c>
      <c r="E481" s="27">
        <v>194921759.5</v>
      </c>
      <c r="F481" s="27">
        <v>32027896</v>
      </c>
      <c r="G481" s="27">
        <f>VLOOKUP(A481,'[1]saldos al 26May26'!$C$2:$I$1010,7,FALSE)</f>
        <v>-3184194.58</v>
      </c>
      <c r="H481" s="27"/>
      <c r="I481" s="28"/>
      <c r="J481" s="29"/>
      <c r="K481" s="25" t="s">
        <v>29</v>
      </c>
      <c r="L481" s="25" t="s">
        <v>30</v>
      </c>
      <c r="M481" s="25" t="s">
        <v>55</v>
      </c>
      <c r="N481" s="25"/>
      <c r="O481" t="s">
        <v>51</v>
      </c>
      <c r="P481" s="32">
        <v>-76358.880000000005</v>
      </c>
      <c r="Q481" s="30">
        <v>0</v>
      </c>
      <c r="R481" s="30"/>
      <c r="S481" s="30" t="s">
        <v>63</v>
      </c>
      <c r="T481" t="s">
        <v>33</v>
      </c>
      <c r="U481" s="31" t="e">
        <v>#N/A</v>
      </c>
      <c r="V481" t="s">
        <v>34</v>
      </c>
      <c r="Y481" t="e">
        <f>VLOOKUP(A481,[2]!PRGX[[#All],[Proveedor]],1,FALSE)</f>
        <v>#REF!</v>
      </c>
    </row>
    <row r="482" spans="1:25" x14ac:dyDescent="0.25">
      <c r="A482" s="25">
        <v>25026</v>
      </c>
      <c r="B482" s="25" t="s">
        <v>518</v>
      </c>
      <c r="C482" s="26">
        <v>8501</v>
      </c>
      <c r="D482" s="27">
        <v>226468336.54929999</v>
      </c>
      <c r="E482" s="27">
        <v>98795911.010199979</v>
      </c>
      <c r="F482" s="27">
        <v>127672425.53910001</v>
      </c>
      <c r="G482" s="27">
        <f>VLOOKUP(A482,'[1]saldos al 26May26'!$C$2:$I$1010,7,FALSE)</f>
        <v>-1786124.52</v>
      </c>
      <c r="H482" s="27"/>
      <c r="I482" s="28"/>
      <c r="J482" s="29"/>
      <c r="K482" s="25" t="s">
        <v>29</v>
      </c>
      <c r="L482" s="25" t="s">
        <v>30</v>
      </c>
      <c r="M482" s="25" t="s">
        <v>50</v>
      </c>
      <c r="N482" s="25"/>
      <c r="O482" t="s">
        <v>80</v>
      </c>
      <c r="P482" s="32">
        <v>-9271778.3900000006</v>
      </c>
      <c r="Q482" s="30">
        <v>0</v>
      </c>
      <c r="R482" s="30"/>
      <c r="S482" s="30" t="s">
        <v>33</v>
      </c>
      <c r="T482" t="s">
        <v>33</v>
      </c>
      <c r="U482" s="31" t="s">
        <v>33</v>
      </c>
      <c r="V482" t="s">
        <v>33</v>
      </c>
      <c r="Y482" t="e">
        <f>VLOOKUP(A482,[2]!PRGX[[#All],[Proveedor]],1,FALSE)</f>
        <v>#REF!</v>
      </c>
    </row>
    <row r="483" spans="1:25" x14ac:dyDescent="0.25">
      <c r="A483" s="25">
        <v>11999</v>
      </c>
      <c r="B483" s="25" t="s">
        <v>519</v>
      </c>
      <c r="C483" s="26">
        <v>5743</v>
      </c>
      <c r="D483" s="27">
        <v>226455864.963</v>
      </c>
      <c r="E483" s="27">
        <v>207853807.97299999</v>
      </c>
      <c r="F483" s="27">
        <v>18602056.989999998</v>
      </c>
      <c r="G483" s="27">
        <f>VLOOKUP(A483,'[1]saldos al 26May26'!$C$2:$I$1010,7,FALSE)</f>
        <v>-1235013.8</v>
      </c>
      <c r="H483" s="27"/>
      <c r="I483" s="28"/>
      <c r="J483" s="29"/>
      <c r="K483" s="25" t="s">
        <v>29</v>
      </c>
      <c r="L483" s="25" t="s">
        <v>30</v>
      </c>
      <c r="M483" s="25" t="s">
        <v>59</v>
      </c>
      <c r="N483" s="25"/>
      <c r="O483" t="s">
        <v>45</v>
      </c>
      <c r="P483" s="30">
        <v>412186.5</v>
      </c>
      <c r="Q483" s="30">
        <v>886493.66</v>
      </c>
      <c r="R483" s="30"/>
      <c r="S483" s="30" t="s">
        <v>63</v>
      </c>
      <c r="T483" t="s">
        <v>33</v>
      </c>
      <c r="U483" s="31" t="e">
        <v>#N/A</v>
      </c>
      <c r="V483" t="s">
        <v>34</v>
      </c>
      <c r="Y483" t="e">
        <f>VLOOKUP(A483,[2]!PRGX[[#All],[Proveedor]],1,FALSE)</f>
        <v>#REF!</v>
      </c>
    </row>
    <row r="484" spans="1:25" x14ac:dyDescent="0.25">
      <c r="A484" s="25">
        <v>22637</v>
      </c>
      <c r="B484" s="25" t="s">
        <v>520</v>
      </c>
      <c r="C484" s="26">
        <v>637</v>
      </c>
      <c r="D484" s="27">
        <v>226302191.80500001</v>
      </c>
      <c r="E484" s="27">
        <v>169039599.30500001</v>
      </c>
      <c r="F484" s="27">
        <v>57262592.5</v>
      </c>
      <c r="G484" s="27">
        <f>VLOOKUP(A484,'[1]saldos al 26May26'!$C$2:$I$1010,7,FALSE)</f>
        <v>-6227150.7000000002</v>
      </c>
      <c r="H484" s="27"/>
      <c r="I484" s="28"/>
      <c r="J484" s="29"/>
      <c r="K484" s="25" t="s">
        <v>40</v>
      </c>
      <c r="L484" s="25" t="s">
        <v>30</v>
      </c>
      <c r="M484" s="25" t="s">
        <v>59</v>
      </c>
      <c r="N484" s="25" t="s">
        <v>47</v>
      </c>
      <c r="O484" t="s">
        <v>47</v>
      </c>
      <c r="P484" s="30">
        <v>80084</v>
      </c>
      <c r="Q484" s="30">
        <v>0</v>
      </c>
      <c r="R484" s="30"/>
      <c r="S484" s="30" t="e">
        <v>#N/A</v>
      </c>
      <c r="T484" t="s">
        <v>34</v>
      </c>
      <c r="U484" s="31" t="e">
        <v>#N/A</v>
      </c>
      <c r="V484" t="s">
        <v>34</v>
      </c>
      <c r="Y484" t="e">
        <f>VLOOKUP(A484,[2]!PRGX[[#All],[Proveedor]],1,FALSE)</f>
        <v>#REF!</v>
      </c>
    </row>
    <row r="485" spans="1:25" x14ac:dyDescent="0.25">
      <c r="A485" s="25">
        <v>8939</v>
      </c>
      <c r="B485" s="25" t="s">
        <v>521</v>
      </c>
      <c r="C485" s="26">
        <v>13064</v>
      </c>
      <c r="D485" s="27">
        <v>225914046.11000001</v>
      </c>
      <c r="E485" s="27">
        <v>181870636.75</v>
      </c>
      <c r="F485" s="27">
        <v>44043409.359999999</v>
      </c>
      <c r="G485" s="27">
        <f>VLOOKUP(A485,'[1]saldos al 26May26'!$C$2:$I$1010,7,FALSE)</f>
        <v>-4057457.58</v>
      </c>
      <c r="H485" s="27"/>
      <c r="I485" s="28"/>
      <c r="J485" s="29"/>
      <c r="K485" s="25" t="s">
        <v>29</v>
      </c>
      <c r="L485" s="25" t="s">
        <v>30</v>
      </c>
      <c r="M485" s="25" t="s">
        <v>31</v>
      </c>
      <c r="N485" s="25"/>
      <c r="O485" t="s">
        <v>87</v>
      </c>
      <c r="P485" s="32">
        <v>-156391.04999999999</v>
      </c>
      <c r="Q485" s="30">
        <v>0</v>
      </c>
      <c r="R485" s="30"/>
      <c r="S485" s="30" t="s">
        <v>63</v>
      </c>
      <c r="T485" t="s">
        <v>33</v>
      </c>
      <c r="U485" s="31">
        <v>0</v>
      </c>
      <c r="V485" t="s">
        <v>42</v>
      </c>
      <c r="W485" s="42"/>
      <c r="Y485" t="e">
        <f>VLOOKUP(A485,[2]!PRGX[[#All],[Proveedor]],1,FALSE)</f>
        <v>#REF!</v>
      </c>
    </row>
    <row r="486" spans="1:25" x14ac:dyDescent="0.25">
      <c r="A486" s="25">
        <v>20646</v>
      </c>
      <c r="B486" s="25" t="s">
        <v>522</v>
      </c>
      <c r="C486" s="26">
        <v>10121</v>
      </c>
      <c r="D486" s="27">
        <v>225720732.06</v>
      </c>
      <c r="E486" s="27">
        <v>220574068.17000002</v>
      </c>
      <c r="F486" s="27">
        <v>5146663.8899999997</v>
      </c>
      <c r="G486" s="27">
        <f>VLOOKUP(A486,'[1]saldos al 26May26'!$C$2:$I$1010,7,FALSE)</f>
        <v>-552163.6</v>
      </c>
      <c r="H486" s="27"/>
      <c r="I486" s="28"/>
      <c r="J486" s="29"/>
      <c r="K486" s="25" t="s">
        <v>29</v>
      </c>
      <c r="L486" s="25" t="s">
        <v>30</v>
      </c>
      <c r="M486" s="25" t="s">
        <v>59</v>
      </c>
      <c r="N486" s="25"/>
      <c r="O486" t="s">
        <v>36</v>
      </c>
      <c r="P486" s="32">
        <v>-16830.45</v>
      </c>
      <c r="Q486" s="30">
        <v>35724</v>
      </c>
      <c r="R486" s="30"/>
      <c r="S486" s="30" t="s">
        <v>33</v>
      </c>
      <c r="T486" t="s">
        <v>33</v>
      </c>
      <c r="U486" s="31" t="s">
        <v>33</v>
      </c>
      <c r="V486" t="s">
        <v>33</v>
      </c>
      <c r="Y486" t="e">
        <f>VLOOKUP(A486,[2]!PRGX[[#All],[Proveedor]],1,FALSE)</f>
        <v>#REF!</v>
      </c>
    </row>
    <row r="487" spans="1:25" x14ac:dyDescent="0.25">
      <c r="A487" s="25">
        <v>342295</v>
      </c>
      <c r="B487" s="25" t="s">
        <v>523</v>
      </c>
      <c r="C487" s="26">
        <v>21697</v>
      </c>
      <c r="D487" s="27">
        <v>225708965.06</v>
      </c>
      <c r="E487" s="27">
        <v>205378079.24000001</v>
      </c>
      <c r="F487" s="27">
        <v>20330885.82</v>
      </c>
      <c r="G487" s="27">
        <f>VLOOKUP(A487,'[1]saldos al 26May26'!$C$2:$I$1010,7,FALSE)</f>
        <v>-3919979.67</v>
      </c>
      <c r="H487" s="27"/>
      <c r="I487" s="28"/>
      <c r="J487" s="29"/>
      <c r="K487" s="25" t="s">
        <v>29</v>
      </c>
      <c r="L487" s="25" t="s">
        <v>30</v>
      </c>
      <c r="M487" s="25" t="s">
        <v>55</v>
      </c>
      <c r="N487" s="25"/>
      <c r="O487" t="s">
        <v>80</v>
      </c>
      <c r="P487" s="32">
        <v>-4833138.29</v>
      </c>
      <c r="Q487" s="30">
        <v>197996.98</v>
      </c>
      <c r="R487" s="30"/>
      <c r="S487" s="30" t="s">
        <v>63</v>
      </c>
      <c r="T487" t="s">
        <v>33</v>
      </c>
      <c r="U487" s="31" t="e">
        <v>#N/A</v>
      </c>
      <c r="V487" t="s">
        <v>34</v>
      </c>
      <c r="Y487" t="e">
        <f>VLOOKUP(A487,[2]!PRGX[[#All],[Proveedor]],1,FALSE)</f>
        <v>#REF!</v>
      </c>
    </row>
    <row r="488" spans="1:25" x14ac:dyDescent="0.25">
      <c r="A488" s="25">
        <v>23836</v>
      </c>
      <c r="B488" s="25" t="s">
        <v>338</v>
      </c>
      <c r="C488" s="26">
        <v>20385</v>
      </c>
      <c r="D488" s="27">
        <v>225625471.91</v>
      </c>
      <c r="E488" s="27">
        <v>100640065.13</v>
      </c>
      <c r="F488" s="27">
        <v>124985406.78</v>
      </c>
      <c r="G488" s="27">
        <f>VLOOKUP(A488,'[1]saldos al 26May26'!$C$2:$I$1010,7,FALSE)</f>
        <v>-38114826.810000002</v>
      </c>
      <c r="H488" s="27"/>
      <c r="I488" s="28"/>
      <c r="J488" s="29"/>
      <c r="K488" s="25" t="s">
        <v>40</v>
      </c>
      <c r="L488" s="25" t="s">
        <v>30</v>
      </c>
      <c r="M488" s="25" t="s">
        <v>50</v>
      </c>
      <c r="N488" s="25" t="s">
        <v>67</v>
      </c>
      <c r="O488" t="s">
        <v>67</v>
      </c>
      <c r="P488" s="32">
        <v>-195683.63</v>
      </c>
      <c r="Q488" s="30">
        <v>0</v>
      </c>
      <c r="R488" s="30"/>
      <c r="S488" s="30">
        <v>0</v>
      </c>
      <c r="T488" t="s">
        <v>42</v>
      </c>
      <c r="U488" s="31" t="e">
        <v>#N/A</v>
      </c>
      <c r="V488" t="s">
        <v>34</v>
      </c>
      <c r="Y488" t="e">
        <f>VLOOKUP(A488,[2]!PRGX[[#All],[Proveedor]],1,FALSE)</f>
        <v>#REF!</v>
      </c>
    </row>
    <row r="489" spans="1:25" x14ac:dyDescent="0.25">
      <c r="A489" s="25">
        <v>24747</v>
      </c>
      <c r="B489" s="25" t="s">
        <v>524</v>
      </c>
      <c r="C489" s="26">
        <v>631</v>
      </c>
      <c r="D489" s="27">
        <v>225384305.88999999</v>
      </c>
      <c r="E489" s="27">
        <v>86860146.639999986</v>
      </c>
      <c r="F489" s="27">
        <v>138524159.25</v>
      </c>
      <c r="G489" s="27">
        <f>VLOOKUP(A489,'[1]saldos al 26May26'!$C$2:$I$1010,7,FALSE)</f>
        <v>-5755797.7300000004</v>
      </c>
      <c r="H489" s="27"/>
      <c r="I489" s="28"/>
      <c r="J489" s="29"/>
      <c r="K489" s="25" t="s">
        <v>29</v>
      </c>
      <c r="L489" s="25" t="s">
        <v>30</v>
      </c>
      <c r="M489" s="25" t="s">
        <v>50</v>
      </c>
      <c r="N489" s="25"/>
      <c r="O489" t="s">
        <v>87</v>
      </c>
      <c r="P489" s="30">
        <v>5912916</v>
      </c>
      <c r="Q489" s="30">
        <v>0</v>
      </c>
      <c r="R489" s="30"/>
      <c r="S489" s="30" t="s">
        <v>33</v>
      </c>
      <c r="T489" t="s">
        <v>33</v>
      </c>
      <c r="U489" s="31" t="e">
        <v>#N/A</v>
      </c>
      <c r="V489" t="s">
        <v>34</v>
      </c>
      <c r="Y489" t="e">
        <f>VLOOKUP(A489,[2]!PRGX[[#All],[Proveedor]],1,FALSE)</f>
        <v>#REF!</v>
      </c>
    </row>
    <row r="490" spans="1:25" x14ac:dyDescent="0.25">
      <c r="A490" s="25">
        <v>210369</v>
      </c>
      <c r="B490" s="25" t="s">
        <v>525</v>
      </c>
      <c r="C490" s="26">
        <v>36515</v>
      </c>
      <c r="D490" s="27">
        <v>224533706.06</v>
      </c>
      <c r="E490" s="27">
        <v>182116988.88</v>
      </c>
      <c r="F490" s="27">
        <v>42416717.18</v>
      </c>
      <c r="G490" s="27">
        <f>VLOOKUP(A490,'[1]saldos al 26May26'!$C$2:$I$1010,7,FALSE)</f>
        <v>-7579330.7800000003</v>
      </c>
      <c r="H490" s="27"/>
      <c r="I490" s="28"/>
      <c r="J490" s="29">
        <v>340224.40956614749</v>
      </c>
      <c r="K490" s="25" t="s">
        <v>40</v>
      </c>
      <c r="L490" s="25" t="s">
        <v>30</v>
      </c>
      <c r="M490" s="25" t="s">
        <v>31</v>
      </c>
      <c r="N490" s="25" t="s">
        <v>67</v>
      </c>
      <c r="O490" t="s">
        <v>67</v>
      </c>
      <c r="P490" s="30">
        <v>184204.94</v>
      </c>
      <c r="Q490" s="30">
        <v>2314864.0499999998</v>
      </c>
      <c r="R490" s="30">
        <v>1090379.93</v>
      </c>
      <c r="S490" s="30" t="s">
        <v>63</v>
      </c>
      <c r="T490" t="s">
        <v>33</v>
      </c>
      <c r="U490" s="31">
        <v>0</v>
      </c>
      <c r="V490" t="s">
        <v>42</v>
      </c>
      <c r="Y490" t="e">
        <f>VLOOKUP(A490,[2]!PRGX[[#All],[Proveedor]],1,FALSE)</f>
        <v>#REF!</v>
      </c>
    </row>
    <row r="491" spans="1:25" x14ac:dyDescent="0.25">
      <c r="A491" s="25">
        <v>307017</v>
      </c>
      <c r="B491" s="25" t="s">
        <v>526</v>
      </c>
      <c r="C491" s="26">
        <v>13287</v>
      </c>
      <c r="D491" s="27">
        <v>223386309.06</v>
      </c>
      <c r="E491" s="27">
        <v>181657541.21000001</v>
      </c>
      <c r="F491" s="27">
        <v>41728767.850000001</v>
      </c>
      <c r="G491" s="27">
        <f>VLOOKUP(A491,'[1]saldos al 26May26'!$C$2:$I$1010,7,FALSE)</f>
        <v>-4406491.18</v>
      </c>
      <c r="H491" s="27"/>
      <c r="I491" s="28"/>
      <c r="J491" s="29"/>
      <c r="K491" s="25" t="s">
        <v>29</v>
      </c>
      <c r="L491" s="25" t="s">
        <v>30</v>
      </c>
      <c r="M491" s="25" t="s">
        <v>31</v>
      </c>
      <c r="N491" s="25"/>
      <c r="O491" t="s">
        <v>70</v>
      </c>
      <c r="P491" s="32">
        <v>-371879.3</v>
      </c>
      <c r="Q491" s="30">
        <v>0</v>
      </c>
      <c r="R491" s="30">
        <v>1598456.91</v>
      </c>
      <c r="S491" s="30" t="s">
        <v>63</v>
      </c>
      <c r="T491" t="s">
        <v>33</v>
      </c>
      <c r="U491" s="31">
        <v>0</v>
      </c>
      <c r="V491" t="s">
        <v>42</v>
      </c>
      <c r="Y491" t="e">
        <f>VLOOKUP(A491,[2]!PRGX[[#All],[Proveedor]],1,FALSE)</f>
        <v>#REF!</v>
      </c>
    </row>
    <row r="492" spans="1:25" x14ac:dyDescent="0.25">
      <c r="A492" s="52">
        <v>8474</v>
      </c>
      <c r="B492" s="52" t="s">
        <v>527</v>
      </c>
      <c r="C492" s="53">
        <v>9081</v>
      </c>
      <c r="D492" s="54">
        <v>222778606.46000001</v>
      </c>
      <c r="E492" s="27">
        <v>210135476.63</v>
      </c>
      <c r="F492" s="27">
        <v>12643129.83</v>
      </c>
      <c r="G492" s="54">
        <f>VLOOKUP(A492,'[1]saldos al 26May26'!$C$2:$I$1010,7,FALSE)</f>
        <v>-2620904.56</v>
      </c>
      <c r="H492" s="54"/>
      <c r="I492" s="55"/>
      <c r="J492" s="56">
        <v>596798.27301044599</v>
      </c>
      <c r="K492" s="52" t="s">
        <v>40</v>
      </c>
      <c r="L492" s="52" t="s">
        <v>30</v>
      </c>
      <c r="M492" s="52" t="s">
        <v>50</v>
      </c>
      <c r="N492" s="52" t="s">
        <v>45</v>
      </c>
      <c r="O492" s="57" t="s">
        <v>45</v>
      </c>
      <c r="P492" s="59">
        <v>-4454482.8499999996</v>
      </c>
      <c r="Q492" s="58">
        <v>0</v>
      </c>
      <c r="R492" s="30">
        <v>78853.460000000006</v>
      </c>
      <c r="S492" s="30" t="e">
        <v>#N/A</v>
      </c>
      <c r="T492" s="57" t="s">
        <v>34</v>
      </c>
      <c r="U492" s="31">
        <v>0</v>
      </c>
      <c r="V492" s="57" t="s">
        <v>42</v>
      </c>
      <c r="X492" t="s">
        <v>43</v>
      </c>
      <c r="Y492" t="e">
        <f>VLOOKUP(A492,[2]!PRGX[[#All],[Proveedor]],1,FALSE)</f>
        <v>#REF!</v>
      </c>
    </row>
    <row r="493" spans="1:25" x14ac:dyDescent="0.25">
      <c r="A493" s="52">
        <v>305284</v>
      </c>
      <c r="B493" s="52" t="s">
        <v>528</v>
      </c>
      <c r="C493" s="53">
        <v>38852</v>
      </c>
      <c r="D493" s="54">
        <v>221824079.50999999</v>
      </c>
      <c r="E493" s="27">
        <v>171418042.60999998</v>
      </c>
      <c r="F493" s="27">
        <v>50406036.899999999</v>
      </c>
      <c r="G493" s="54">
        <f>VLOOKUP(A493,'[1]saldos al 26May26'!$C$2:$I$1010,7,FALSE)</f>
        <v>-6510646.4500000002</v>
      </c>
      <c r="H493" s="54"/>
      <c r="I493" s="55"/>
      <c r="J493" s="56"/>
      <c r="K493" s="52" t="s">
        <v>40</v>
      </c>
      <c r="L493" s="52" t="s">
        <v>30</v>
      </c>
      <c r="M493" s="52" t="s">
        <v>55</v>
      </c>
      <c r="N493" s="52" t="s">
        <v>80</v>
      </c>
      <c r="O493" s="57" t="s">
        <v>80</v>
      </c>
      <c r="P493" s="58">
        <v>887584.49</v>
      </c>
      <c r="Q493" s="58">
        <v>1099909.31</v>
      </c>
      <c r="R493" s="30">
        <v>6059.95</v>
      </c>
      <c r="S493" s="30" t="e">
        <v>#N/A</v>
      </c>
      <c r="T493" s="57" t="s">
        <v>34</v>
      </c>
      <c r="U493" s="31" t="e">
        <v>#N/A</v>
      </c>
      <c r="V493" s="57" t="s">
        <v>34</v>
      </c>
      <c r="X493" t="s">
        <v>43</v>
      </c>
      <c r="Y493" t="e">
        <f>VLOOKUP(A493,[2]!PRGX[[#All],[Proveedor]],1,FALSE)</f>
        <v>#REF!</v>
      </c>
    </row>
    <row r="494" spans="1:25" x14ac:dyDescent="0.25">
      <c r="A494" s="25">
        <v>7673</v>
      </c>
      <c r="B494" s="25" t="s">
        <v>529</v>
      </c>
      <c r="C494" s="26">
        <v>113878</v>
      </c>
      <c r="D494" s="27">
        <v>221664238.2534</v>
      </c>
      <c r="E494" s="27">
        <v>171191553.95840001</v>
      </c>
      <c r="F494" s="27">
        <v>50472684.295000002</v>
      </c>
      <c r="G494" s="27">
        <f>VLOOKUP(A494,'[1]saldos al 26May26'!$C$2:$I$1010,7,FALSE)</f>
        <v>-3062635.5</v>
      </c>
      <c r="H494" s="27"/>
      <c r="I494" s="28"/>
      <c r="J494" s="29"/>
      <c r="K494" s="25" t="s">
        <v>29</v>
      </c>
      <c r="L494" s="25" t="s">
        <v>30</v>
      </c>
      <c r="M494" s="25" t="s">
        <v>50</v>
      </c>
      <c r="N494" s="25"/>
      <c r="O494" t="s">
        <v>32</v>
      </c>
      <c r="P494" s="32">
        <v>-6028370.6099999994</v>
      </c>
      <c r="Q494" s="30">
        <v>81111</v>
      </c>
      <c r="R494" s="30"/>
      <c r="S494" s="30" t="s">
        <v>33</v>
      </c>
      <c r="T494" t="s">
        <v>33</v>
      </c>
      <c r="U494" s="31" t="e">
        <v>#N/A</v>
      </c>
      <c r="V494" t="s">
        <v>34</v>
      </c>
      <c r="Y494" t="e">
        <f>VLOOKUP(A494,[2]!PRGX[[#All],[Proveedor]],1,FALSE)</f>
        <v>#REF!</v>
      </c>
    </row>
    <row r="495" spans="1:25" x14ac:dyDescent="0.25">
      <c r="A495" s="25">
        <v>20146</v>
      </c>
      <c r="B495" s="25" t="s">
        <v>530</v>
      </c>
      <c r="C495" s="26">
        <v>130285</v>
      </c>
      <c r="D495" s="27">
        <v>221234801.84540001</v>
      </c>
      <c r="E495" s="27">
        <v>177038068.90040001</v>
      </c>
      <c r="F495" s="27">
        <v>44196732.945</v>
      </c>
      <c r="G495" s="27">
        <f>VLOOKUP(A495,'[1]saldos al 26May26'!$C$2:$I$1010,7,FALSE)</f>
        <v>-3666274.92</v>
      </c>
      <c r="H495" s="27"/>
      <c r="I495" s="28"/>
      <c r="J495" s="29"/>
      <c r="K495" s="25" t="s">
        <v>29</v>
      </c>
      <c r="L495" s="25" t="s">
        <v>30</v>
      </c>
      <c r="M495" s="25" t="s">
        <v>50</v>
      </c>
      <c r="N495" s="25"/>
      <c r="O495" t="s">
        <v>45</v>
      </c>
      <c r="P495" s="32">
        <v>-58894.54</v>
      </c>
      <c r="Q495" s="30">
        <v>111713</v>
      </c>
      <c r="R495" s="30"/>
      <c r="S495" s="30">
        <v>0</v>
      </c>
      <c r="T495" t="s">
        <v>33</v>
      </c>
      <c r="U495" s="31" t="e">
        <v>#N/A</v>
      </c>
      <c r="V495" t="s">
        <v>34</v>
      </c>
      <c r="Y495" t="e">
        <f>VLOOKUP(A495,[2]!PRGX[[#All],[Proveedor]],1,FALSE)</f>
        <v>#REF!</v>
      </c>
    </row>
    <row r="496" spans="1:25" x14ac:dyDescent="0.25">
      <c r="A496" s="25">
        <v>343038</v>
      </c>
      <c r="B496" s="25" t="s">
        <v>531</v>
      </c>
      <c r="C496" s="26">
        <v>98609</v>
      </c>
      <c r="D496" s="27">
        <v>220384126.56200001</v>
      </c>
      <c r="E496" s="27">
        <v>176319022.83700001</v>
      </c>
      <c r="F496" s="27">
        <v>44065103.725000001</v>
      </c>
      <c r="G496" s="27">
        <f>VLOOKUP(A496,'[1]saldos al 26May26'!$C$2:$I$1010,7,FALSE)</f>
        <v>-3593722.57</v>
      </c>
      <c r="H496" s="27"/>
      <c r="I496" s="28"/>
      <c r="J496" s="29"/>
      <c r="K496" s="25" t="s">
        <v>29</v>
      </c>
      <c r="L496" s="25" t="s">
        <v>30</v>
      </c>
      <c r="M496" s="25" t="s">
        <v>50</v>
      </c>
      <c r="N496" s="25"/>
      <c r="O496" t="s">
        <v>70</v>
      </c>
      <c r="P496" s="32">
        <v>-927003.77000000014</v>
      </c>
      <c r="Q496" s="30">
        <v>110982.04</v>
      </c>
      <c r="R496" s="30"/>
      <c r="S496" s="30" t="s">
        <v>33</v>
      </c>
      <c r="T496" t="s">
        <v>33</v>
      </c>
      <c r="U496" s="31" t="e">
        <v>#N/A</v>
      </c>
      <c r="V496" t="s">
        <v>34</v>
      </c>
      <c r="Y496" t="e">
        <f>VLOOKUP(A496,[2]!PRGX[[#All],[Proveedor]],1,FALSE)</f>
        <v>#REF!</v>
      </c>
    </row>
    <row r="497" spans="1:26" x14ac:dyDescent="0.25">
      <c r="A497" s="25">
        <v>24564</v>
      </c>
      <c r="B497" s="25" t="s">
        <v>532</v>
      </c>
      <c r="C497" s="26">
        <v>27981</v>
      </c>
      <c r="D497" s="27">
        <v>220318597.06999999</v>
      </c>
      <c r="E497" s="27">
        <v>99283683.109999999</v>
      </c>
      <c r="F497" s="27">
        <v>121034913.95999999</v>
      </c>
      <c r="G497" s="27">
        <f>VLOOKUP(A497,'[1]saldos al 26May26'!$C$2:$I$1010,7,FALSE)</f>
        <v>-37286919.780000001</v>
      </c>
      <c r="H497" s="27"/>
      <c r="I497" s="28"/>
      <c r="J497" s="29"/>
      <c r="K497" s="25" t="s">
        <v>29</v>
      </c>
      <c r="L497" s="25" t="s">
        <v>30</v>
      </c>
      <c r="M497" s="25" t="s">
        <v>50</v>
      </c>
      <c r="N497" s="25"/>
      <c r="O497" s="43" t="s">
        <v>41</v>
      </c>
      <c r="P497" s="32">
        <v>-670146.44999999995</v>
      </c>
      <c r="Q497" s="30">
        <v>0</v>
      </c>
      <c r="R497" s="30">
        <v>2281795.2999999998</v>
      </c>
      <c r="S497" s="30" t="s">
        <v>63</v>
      </c>
      <c r="T497" t="s">
        <v>33</v>
      </c>
      <c r="U497" s="31" t="e">
        <v>#N/A</v>
      </c>
      <c r="V497" t="s">
        <v>34</v>
      </c>
      <c r="Y497" t="e">
        <f>VLOOKUP(A497,[2]!PRGX[[#All],[Proveedor]],1,FALSE)</f>
        <v>#REF!</v>
      </c>
    </row>
    <row r="498" spans="1:26" x14ac:dyDescent="0.25">
      <c r="A498" s="25">
        <v>22605</v>
      </c>
      <c r="B498" s="25" t="s">
        <v>533</v>
      </c>
      <c r="C498" s="26">
        <v>83213</v>
      </c>
      <c r="D498" s="27">
        <v>219777760.91</v>
      </c>
      <c r="E498" s="27">
        <v>126934519.34</v>
      </c>
      <c r="F498" s="27">
        <v>92843241.569999993</v>
      </c>
      <c r="G498" s="27">
        <f>VLOOKUP(A498,'[1]saldos al 26May26'!$C$2:$I$1010,7,FALSE)</f>
        <v>-63468.160000000003</v>
      </c>
      <c r="H498" s="27"/>
      <c r="I498" s="28"/>
      <c r="J498" s="29">
        <v>214330.92951549741</v>
      </c>
      <c r="K498" s="25" t="s">
        <v>40</v>
      </c>
      <c r="L498" s="25" t="s">
        <v>30</v>
      </c>
      <c r="M498" s="25" t="s">
        <v>61</v>
      </c>
      <c r="N498" s="25" t="s">
        <v>38</v>
      </c>
      <c r="O498" t="s">
        <v>38</v>
      </c>
      <c r="P498" s="32">
        <v>-468661.89999999997</v>
      </c>
      <c r="Q498" s="30">
        <v>0</v>
      </c>
      <c r="R498" s="30"/>
      <c r="S498" s="30" t="s">
        <v>33</v>
      </c>
      <c r="T498" t="s">
        <v>33</v>
      </c>
      <c r="U498" s="31" t="e">
        <v>#N/A</v>
      </c>
      <c r="V498" t="s">
        <v>34</v>
      </c>
      <c r="Y498" t="e">
        <f>VLOOKUP(A498,[2]!PRGX[[#All],[Proveedor]],1,FALSE)</f>
        <v>#REF!</v>
      </c>
    </row>
    <row r="499" spans="1:26" x14ac:dyDescent="0.25">
      <c r="A499" s="25">
        <v>229732</v>
      </c>
      <c r="B499" s="25" t="s">
        <v>534</v>
      </c>
      <c r="C499" s="26">
        <v>61807</v>
      </c>
      <c r="D499" s="27">
        <v>219356691.51930001</v>
      </c>
      <c r="E499" s="27">
        <v>190748225.05230001</v>
      </c>
      <c r="F499" s="27">
        <v>28608466.467</v>
      </c>
      <c r="G499" s="27">
        <f>VLOOKUP(A499,'[1]saldos al 26May26'!$C$2:$I$1010,7,FALSE)</f>
        <v>-3875434.47</v>
      </c>
      <c r="H499" s="27"/>
      <c r="I499" s="28"/>
      <c r="J499" s="29"/>
      <c r="K499" s="25" t="s">
        <v>29</v>
      </c>
      <c r="L499" s="25" t="s">
        <v>30</v>
      </c>
      <c r="M499" s="25" t="s">
        <v>31</v>
      </c>
      <c r="N499" s="25"/>
      <c r="O499" t="s">
        <v>70</v>
      </c>
      <c r="P499" s="32">
        <v>-288556.34999999998</v>
      </c>
      <c r="Q499" s="30">
        <v>37496.550000000003</v>
      </c>
      <c r="R499" s="30"/>
      <c r="S499" s="30" t="s">
        <v>63</v>
      </c>
      <c r="T499" t="s">
        <v>33</v>
      </c>
      <c r="U499" s="31">
        <v>0</v>
      </c>
      <c r="V499" t="s">
        <v>42</v>
      </c>
      <c r="Y499" t="e">
        <f>VLOOKUP(A499,[2]!PRGX[[#All],[Proveedor]],1,FALSE)</f>
        <v>#REF!</v>
      </c>
    </row>
    <row r="500" spans="1:26" x14ac:dyDescent="0.25">
      <c r="A500" s="25">
        <v>58487</v>
      </c>
      <c r="B500" s="25" t="s">
        <v>535</v>
      </c>
      <c r="C500" s="26">
        <v>64958</v>
      </c>
      <c r="D500" s="27">
        <v>219278836.50749999</v>
      </c>
      <c r="E500" s="27">
        <v>185485507.16749999</v>
      </c>
      <c r="F500" s="27">
        <v>33793329.340000004</v>
      </c>
      <c r="G500" s="27">
        <f>VLOOKUP(A500,'[1]saldos al 26May26'!$C$2:$I$1010,7,FALSE)</f>
        <v>-5800.9</v>
      </c>
      <c r="H500" s="27"/>
      <c r="I500" s="28"/>
      <c r="J500" s="29"/>
      <c r="K500" s="25" t="s">
        <v>29</v>
      </c>
      <c r="L500" s="25" t="s">
        <v>30</v>
      </c>
      <c r="M500" s="25" t="s">
        <v>59</v>
      </c>
      <c r="N500" s="25"/>
      <c r="O500" t="s">
        <v>67</v>
      </c>
      <c r="P500" s="32">
        <v>-4460.22</v>
      </c>
      <c r="Q500" s="30">
        <v>0</v>
      </c>
      <c r="R500" s="30"/>
      <c r="S500" s="30" t="s">
        <v>63</v>
      </c>
      <c r="T500" t="s">
        <v>33</v>
      </c>
      <c r="U500" s="31">
        <v>0</v>
      </c>
      <c r="V500" t="s">
        <v>42</v>
      </c>
      <c r="Y500" t="e">
        <f>VLOOKUP(A500,[2]!PRGX[[#All],[Proveedor]],1,FALSE)</f>
        <v>#REF!</v>
      </c>
    </row>
    <row r="501" spans="1:26" x14ac:dyDescent="0.25">
      <c r="A501" s="25">
        <v>3570</v>
      </c>
      <c r="B501" s="25" t="s">
        <v>536</v>
      </c>
      <c r="C501" s="26">
        <v>52023</v>
      </c>
      <c r="D501" s="27">
        <v>218661881.09</v>
      </c>
      <c r="E501" s="27">
        <v>186719564.19999999</v>
      </c>
      <c r="F501" s="27">
        <v>31942316.890000001</v>
      </c>
      <c r="G501" s="27">
        <f>VLOOKUP(A501,'[1]saldos al 26May26'!$C$2:$I$1010,7,FALSE)</f>
        <v>-6193946.7599999998</v>
      </c>
      <c r="H501" s="27"/>
      <c r="I501" s="28"/>
      <c r="J501" s="29"/>
      <c r="K501" s="25" t="s">
        <v>29</v>
      </c>
      <c r="L501" s="25" t="s">
        <v>30</v>
      </c>
      <c r="M501" s="25" t="s">
        <v>55</v>
      </c>
      <c r="N501" s="25"/>
      <c r="O501" t="s">
        <v>32</v>
      </c>
      <c r="P501" s="30">
        <v>718344.71</v>
      </c>
      <c r="Q501" s="30">
        <v>487107.14</v>
      </c>
      <c r="R501" s="30"/>
      <c r="S501" s="30" t="s">
        <v>63</v>
      </c>
      <c r="T501" t="s">
        <v>33</v>
      </c>
      <c r="U501" s="31" t="s">
        <v>33</v>
      </c>
      <c r="V501" t="s">
        <v>33</v>
      </c>
      <c r="Y501" t="e">
        <f>VLOOKUP(A501,[2]!PRGX[[#All],[Proveedor]],1,FALSE)</f>
        <v>#REF!</v>
      </c>
    </row>
    <row r="502" spans="1:26" x14ac:dyDescent="0.25">
      <c r="A502" s="52">
        <v>62356</v>
      </c>
      <c r="B502" s="52" t="s">
        <v>537</v>
      </c>
      <c r="C502" s="53">
        <v>19359</v>
      </c>
      <c r="D502" s="54">
        <v>218472482.664</v>
      </c>
      <c r="E502" s="27">
        <v>197686395.84999999</v>
      </c>
      <c r="F502" s="27">
        <v>20786086.813999999</v>
      </c>
      <c r="G502" s="54">
        <f>VLOOKUP(A502,'[1]saldos al 26May26'!$C$2:$I$1010,7,FALSE)</f>
        <v>-3292985.66</v>
      </c>
      <c r="H502" s="54"/>
      <c r="I502" s="55"/>
      <c r="J502" s="56">
        <v>137793.102044044</v>
      </c>
      <c r="K502" s="52" t="s">
        <v>29</v>
      </c>
      <c r="L502" s="52" t="s">
        <v>30</v>
      </c>
      <c r="M502" s="52" t="s">
        <v>31</v>
      </c>
      <c r="N502" s="52" t="s">
        <v>67</v>
      </c>
      <c r="O502" s="57" t="s">
        <v>67</v>
      </c>
      <c r="P502" s="59">
        <v>-2769957.53</v>
      </c>
      <c r="Q502" s="58">
        <v>1450941.92</v>
      </c>
      <c r="R502" s="30"/>
      <c r="S502" s="30" t="s">
        <v>63</v>
      </c>
      <c r="T502" s="57" t="s">
        <v>33</v>
      </c>
      <c r="U502" s="31" t="s">
        <v>33</v>
      </c>
      <c r="V502" t="s">
        <v>33</v>
      </c>
      <c r="Y502" t="e">
        <f>VLOOKUP(A502,[2]!PRGX[[#All],[Proveedor]],1,FALSE)</f>
        <v>#REF!</v>
      </c>
    </row>
    <row r="503" spans="1:26" x14ac:dyDescent="0.25">
      <c r="A503" s="36">
        <v>387688</v>
      </c>
      <c r="B503" s="36" t="s">
        <v>538</v>
      </c>
      <c r="C503" s="37">
        <v>98912</v>
      </c>
      <c r="D503" s="38">
        <v>218104805.60159999</v>
      </c>
      <c r="E503" s="38">
        <v>213407261.73469999</v>
      </c>
      <c r="F503" s="38">
        <v>4697543.8668999998</v>
      </c>
      <c r="G503" s="38">
        <f>VLOOKUP(A503,'[1]saldos al 26May26'!$C$2:$I$1010,7,FALSE)</f>
        <v>-95140.03</v>
      </c>
      <c r="H503" s="39" t="s">
        <v>54</v>
      </c>
      <c r="I503" s="40"/>
      <c r="J503" s="41">
        <v>2843370.327875</v>
      </c>
      <c r="K503" s="36" t="s">
        <v>40</v>
      </c>
      <c r="L503" s="36" t="s">
        <v>30</v>
      </c>
      <c r="M503" s="36" t="s">
        <v>55</v>
      </c>
      <c r="N503" s="25" t="s">
        <v>41</v>
      </c>
      <c r="O503" s="43" t="s">
        <v>41</v>
      </c>
      <c r="P503" s="30">
        <v>48134627.719999999</v>
      </c>
      <c r="Q503" s="30">
        <v>53649.5</v>
      </c>
      <c r="R503" s="30"/>
      <c r="S503" s="30">
        <v>0</v>
      </c>
      <c r="T503" t="s">
        <v>42</v>
      </c>
      <c r="U503" s="31" t="e">
        <v>#N/A</v>
      </c>
      <c r="V503" t="s">
        <v>34</v>
      </c>
      <c r="Y503" t="e">
        <f>VLOOKUP(A503,[2]!PRGX[[#All],[Proveedor]],1,FALSE)</f>
        <v>#REF!</v>
      </c>
    </row>
    <row r="504" spans="1:26" x14ac:dyDescent="0.25">
      <c r="A504" s="25">
        <v>23020</v>
      </c>
      <c r="B504" s="25" t="s">
        <v>539</v>
      </c>
      <c r="C504" s="26">
        <v>89194</v>
      </c>
      <c r="D504" s="27">
        <v>217574842.97600001</v>
      </c>
      <c r="E504" s="27">
        <v>101555708.66300002</v>
      </c>
      <c r="F504" s="27">
        <v>116019134.31299999</v>
      </c>
      <c r="G504" s="27">
        <f>VLOOKUP(A504,'[1]saldos al 26May26'!$C$2:$I$1010,7,FALSE)</f>
        <v>-10186595.689999999</v>
      </c>
      <c r="H504" s="27"/>
      <c r="I504" s="28"/>
      <c r="J504" s="29"/>
      <c r="K504" s="25" t="s">
        <v>29</v>
      </c>
      <c r="L504" s="25" t="s">
        <v>30</v>
      </c>
      <c r="M504" s="25" t="s">
        <v>50</v>
      </c>
      <c r="N504" s="25"/>
      <c r="O504" t="s">
        <v>32</v>
      </c>
      <c r="P504" s="32">
        <v>-3163594.76</v>
      </c>
      <c r="Q504" s="30">
        <v>0</v>
      </c>
      <c r="R504" s="30"/>
      <c r="S504" s="30" t="s">
        <v>33</v>
      </c>
      <c r="T504" t="s">
        <v>33</v>
      </c>
      <c r="U504" s="31" t="e">
        <v>#N/A</v>
      </c>
      <c r="V504" t="s">
        <v>34</v>
      </c>
      <c r="Y504" t="e">
        <f>VLOOKUP(A504,[2]!PRGX[[#All],[Proveedor]],1,FALSE)</f>
        <v>#REF!</v>
      </c>
    </row>
    <row r="505" spans="1:26" x14ac:dyDescent="0.25">
      <c r="A505" s="25">
        <v>16636</v>
      </c>
      <c r="B505" s="25" t="s">
        <v>540</v>
      </c>
      <c r="C505" s="26">
        <v>48476</v>
      </c>
      <c r="D505" s="27">
        <v>217296967.97999999</v>
      </c>
      <c r="E505" s="27">
        <v>206484258.07999998</v>
      </c>
      <c r="F505" s="27">
        <v>10812709.9</v>
      </c>
      <c r="G505" s="27">
        <f>VLOOKUP(A505,'[1]saldos al 26May26'!$C$2:$I$1010,7,FALSE)</f>
        <v>-526579.04</v>
      </c>
      <c r="H505" s="27"/>
      <c r="I505" s="28"/>
      <c r="J505" s="29">
        <v>2231291.570949405</v>
      </c>
      <c r="K505" s="25" t="s">
        <v>29</v>
      </c>
      <c r="L505" s="25" t="s">
        <v>30</v>
      </c>
      <c r="M505" s="25" t="s">
        <v>59</v>
      </c>
      <c r="N505" s="25"/>
      <c r="O505" t="s">
        <v>80</v>
      </c>
      <c r="P505" s="32">
        <v>-6754382.75</v>
      </c>
      <c r="Q505" s="30">
        <v>224662.65</v>
      </c>
      <c r="R505" s="30">
        <v>20000</v>
      </c>
      <c r="S505" s="30" t="s">
        <v>63</v>
      </c>
      <c r="T505" t="s">
        <v>33</v>
      </c>
      <c r="U505" s="31" t="s">
        <v>33</v>
      </c>
      <c r="V505" t="s">
        <v>33</v>
      </c>
      <c r="Y505" t="e">
        <f>VLOOKUP(A505,[2]!PRGX[[#All],[Proveedor]],1,FALSE)</f>
        <v>#REF!</v>
      </c>
    </row>
    <row r="506" spans="1:26" x14ac:dyDescent="0.25">
      <c r="A506" s="25">
        <v>316273</v>
      </c>
      <c r="B506" s="25" t="s">
        <v>541</v>
      </c>
      <c r="C506" s="26">
        <v>78416</v>
      </c>
      <c r="D506" s="27">
        <v>216599879.9287</v>
      </c>
      <c r="E506" s="27">
        <v>154814617.16319999</v>
      </c>
      <c r="F506" s="27">
        <v>61785262.765500002</v>
      </c>
      <c r="G506" s="27">
        <f>VLOOKUP(A506,'[1]saldos al 26May26'!$C$2:$I$1010,7,FALSE)</f>
        <v>-8628682.0800000001</v>
      </c>
      <c r="H506" s="27"/>
      <c r="I506" s="28"/>
      <c r="J506" s="29"/>
      <c r="K506" s="25" t="s">
        <v>29</v>
      </c>
      <c r="L506" s="25" t="s">
        <v>30</v>
      </c>
      <c r="M506" s="25" t="s">
        <v>59</v>
      </c>
      <c r="N506" s="25"/>
      <c r="O506" t="s">
        <v>96</v>
      </c>
      <c r="P506" s="32">
        <v>-847320.96</v>
      </c>
      <c r="Q506" s="30">
        <v>148841.68</v>
      </c>
      <c r="R506" s="30">
        <v>235770</v>
      </c>
      <c r="S506" s="30">
        <v>0</v>
      </c>
      <c r="T506" t="s">
        <v>33</v>
      </c>
      <c r="U506" s="31" t="e">
        <v>#N/A</v>
      </c>
      <c r="V506" t="s">
        <v>34</v>
      </c>
      <c r="Y506" t="e">
        <f>VLOOKUP(A506,[2]!PRGX[[#All],[Proveedor]],1,FALSE)</f>
        <v>#REF!</v>
      </c>
    </row>
    <row r="507" spans="1:26" x14ac:dyDescent="0.25">
      <c r="A507" s="25">
        <v>29538</v>
      </c>
      <c r="B507" s="25" t="s">
        <v>542</v>
      </c>
      <c r="C507" s="26">
        <v>10654</v>
      </c>
      <c r="D507" s="27">
        <v>215232417.8378</v>
      </c>
      <c r="E507" s="27">
        <v>191949505.8926</v>
      </c>
      <c r="F507" s="27">
        <v>23282911.9452</v>
      </c>
      <c r="G507" s="27">
        <f>VLOOKUP(A507,'[1]saldos al 26May26'!$C$2:$I$1010,7,FALSE)</f>
        <v>-1765024.77</v>
      </c>
      <c r="H507" s="27"/>
      <c r="I507" s="28" t="s">
        <v>27</v>
      </c>
      <c r="J507" s="29"/>
      <c r="K507" s="25" t="s">
        <v>29</v>
      </c>
      <c r="L507" s="25" t="s">
        <v>30</v>
      </c>
      <c r="M507" s="25" t="s">
        <v>55</v>
      </c>
      <c r="N507" s="25"/>
      <c r="O507" t="s">
        <v>80</v>
      </c>
      <c r="P507" s="30">
        <v>50096475.979999997</v>
      </c>
      <c r="Q507" s="30">
        <v>0</v>
      </c>
      <c r="R507" s="30"/>
      <c r="S507" s="30" t="s">
        <v>33</v>
      </c>
      <c r="T507" t="s">
        <v>33</v>
      </c>
      <c r="U507" s="31" t="e">
        <v>#N/A</v>
      </c>
      <c r="V507" t="s">
        <v>34</v>
      </c>
      <c r="Y507" t="e">
        <f>VLOOKUP(A507,[2]!PRGX[[#All],[Proveedor]],1,FALSE)</f>
        <v>#REF!</v>
      </c>
      <c r="Z507">
        <v>29538</v>
      </c>
    </row>
    <row r="508" spans="1:26" x14ac:dyDescent="0.25">
      <c r="A508" s="25">
        <v>5766</v>
      </c>
      <c r="B508" s="25" t="s">
        <v>340</v>
      </c>
      <c r="C508" s="26">
        <v>8767</v>
      </c>
      <c r="D508" s="27">
        <v>214913980.11000001</v>
      </c>
      <c r="E508" s="27">
        <v>205382914.74000001</v>
      </c>
      <c r="F508" s="27">
        <v>9531065.3699999992</v>
      </c>
      <c r="G508" s="27">
        <f>VLOOKUP(A508,'[1]saldos al 26May26'!$C$2:$I$1010,7,FALSE)</f>
        <v>-25679970.48</v>
      </c>
      <c r="H508" s="27"/>
      <c r="I508" s="28"/>
      <c r="J508" s="29"/>
      <c r="K508" s="25" t="s">
        <v>29</v>
      </c>
      <c r="L508" s="25" t="s">
        <v>30</v>
      </c>
      <c r="M508" s="25" t="s">
        <v>59</v>
      </c>
      <c r="N508" s="25"/>
      <c r="O508" t="s">
        <v>87</v>
      </c>
      <c r="P508" s="32">
        <v>-136645.57</v>
      </c>
      <c r="Q508" s="30">
        <v>642886.6</v>
      </c>
      <c r="R508" s="30"/>
      <c r="S508" s="30" t="s">
        <v>63</v>
      </c>
      <c r="T508" t="s">
        <v>33</v>
      </c>
      <c r="U508" s="31">
        <v>0</v>
      </c>
      <c r="V508" t="s">
        <v>42</v>
      </c>
      <c r="Y508" t="e">
        <f>VLOOKUP(A508,[2]!PRGX[[#All],[Proveedor]],1,FALSE)</f>
        <v>#REF!</v>
      </c>
    </row>
    <row r="509" spans="1:26" x14ac:dyDescent="0.25">
      <c r="A509" s="25">
        <v>87254</v>
      </c>
      <c r="B509" s="25" t="s">
        <v>543</v>
      </c>
      <c r="C509" s="26">
        <v>102724</v>
      </c>
      <c r="D509" s="27">
        <v>214665048.56850001</v>
      </c>
      <c r="E509" s="27">
        <v>185128558.71850002</v>
      </c>
      <c r="F509" s="27">
        <v>29536489.850000001</v>
      </c>
      <c r="G509" s="27">
        <f>VLOOKUP(A509,'[1]saldos al 26May26'!$C$2:$I$1010,7,FALSE)</f>
        <v>-1336918.83</v>
      </c>
      <c r="H509" s="27"/>
      <c r="I509" s="28"/>
      <c r="J509" s="29"/>
      <c r="K509" s="25" t="s">
        <v>29</v>
      </c>
      <c r="L509" s="25" t="s">
        <v>30</v>
      </c>
      <c r="M509" s="25" t="s">
        <v>59</v>
      </c>
      <c r="N509" s="25"/>
      <c r="O509" t="s">
        <v>51</v>
      </c>
      <c r="P509" s="30">
        <v>4395180.16</v>
      </c>
      <c r="Q509" s="30">
        <v>336298.75</v>
      </c>
      <c r="R509" s="30"/>
      <c r="S509" s="30" t="s">
        <v>33</v>
      </c>
      <c r="T509" t="s">
        <v>33</v>
      </c>
      <c r="U509" s="31" t="e">
        <v>#N/A</v>
      </c>
      <c r="V509" t="s">
        <v>34</v>
      </c>
      <c r="Y509" t="e">
        <f>VLOOKUP(A509,[2]!PRGX[[#All],[Proveedor]],1,FALSE)</f>
        <v>#REF!</v>
      </c>
    </row>
    <row r="510" spans="1:26" x14ac:dyDescent="0.25">
      <c r="A510" s="25">
        <v>7875</v>
      </c>
      <c r="B510" s="25" t="s">
        <v>544</v>
      </c>
      <c r="C510" s="26">
        <v>41964</v>
      </c>
      <c r="D510" s="27">
        <v>212960691.03</v>
      </c>
      <c r="E510" s="27">
        <v>169885808.62</v>
      </c>
      <c r="F510" s="27">
        <v>43074882.409999996</v>
      </c>
      <c r="G510" s="27">
        <f>VLOOKUP(A510,'[1]saldos al 26May26'!$C$2:$I$1010,7,FALSE)</f>
        <v>-2732329.95</v>
      </c>
      <c r="H510" s="27"/>
      <c r="I510" s="28"/>
      <c r="J510" s="29"/>
      <c r="K510" s="25" t="s">
        <v>29</v>
      </c>
      <c r="L510" s="25" t="s">
        <v>30</v>
      </c>
      <c r="M510" s="25" t="s">
        <v>50</v>
      </c>
      <c r="N510" s="25"/>
      <c r="O510" t="s">
        <v>87</v>
      </c>
      <c r="P510" s="32">
        <v>-2440112.13</v>
      </c>
      <c r="Q510" s="30">
        <v>386145.44</v>
      </c>
      <c r="R510" s="30"/>
      <c r="S510" s="30" t="s">
        <v>63</v>
      </c>
      <c r="T510" t="s">
        <v>33</v>
      </c>
      <c r="U510" s="31">
        <v>0</v>
      </c>
      <c r="V510" t="s">
        <v>42</v>
      </c>
      <c r="Y510" t="e">
        <f>VLOOKUP(A510,[2]!PRGX[[#All],[Proveedor]],1,FALSE)</f>
        <v>#REF!</v>
      </c>
    </row>
    <row r="511" spans="1:26" x14ac:dyDescent="0.25">
      <c r="A511" s="25">
        <v>332866</v>
      </c>
      <c r="B511" s="25" t="s">
        <v>545</v>
      </c>
      <c r="C511" s="26">
        <v>75506</v>
      </c>
      <c r="D511" s="27">
        <v>211966251.02919999</v>
      </c>
      <c r="E511" s="27">
        <v>180214257.50819999</v>
      </c>
      <c r="F511" s="27">
        <v>31751993.521000002</v>
      </c>
      <c r="G511" s="27">
        <f>VLOOKUP(A511,'[1]saldos al 26May26'!$C$2:$I$1010,7,FALSE)</f>
        <v>-2766752.46</v>
      </c>
      <c r="H511" s="27"/>
      <c r="I511" s="28"/>
      <c r="J511" s="29">
        <v>97567.332674697609</v>
      </c>
      <c r="K511" s="25" t="s">
        <v>40</v>
      </c>
      <c r="L511" s="25" t="s">
        <v>30</v>
      </c>
      <c r="M511" s="25" t="s">
        <v>31</v>
      </c>
      <c r="N511" s="25" t="s">
        <v>45</v>
      </c>
      <c r="O511" t="s">
        <v>45</v>
      </c>
      <c r="P511" s="32">
        <v>-525238.66999999993</v>
      </c>
      <c r="Q511" s="30">
        <v>40212.699999999997</v>
      </c>
      <c r="R511" s="30"/>
      <c r="S511" s="30" t="e">
        <v>#N/A</v>
      </c>
      <c r="T511" t="s">
        <v>34</v>
      </c>
      <c r="U511" s="31" t="e">
        <v>#N/A</v>
      </c>
      <c r="V511" t="s">
        <v>34</v>
      </c>
      <c r="Y511" t="e">
        <f>VLOOKUP(A511,[2]!PRGX[[#All],[Proveedor]],1,FALSE)</f>
        <v>#REF!</v>
      </c>
    </row>
    <row r="512" spans="1:26" x14ac:dyDescent="0.25">
      <c r="A512" s="25">
        <v>319731</v>
      </c>
      <c r="B512" s="25" t="s">
        <v>546</v>
      </c>
      <c r="C512" s="26">
        <v>11839</v>
      </c>
      <c r="D512" s="27">
        <v>211781821.74000001</v>
      </c>
      <c r="E512" s="27">
        <v>181458079.58000001</v>
      </c>
      <c r="F512" s="27">
        <v>30323742.16</v>
      </c>
      <c r="G512" s="27">
        <f>VLOOKUP(A512,'[1]saldos al 26May26'!$C$2:$I$1010,7,FALSE)</f>
        <v>-4098742.8</v>
      </c>
      <c r="H512" s="27"/>
      <c r="I512" s="28"/>
      <c r="J512" s="29">
        <v>106513.92415397101</v>
      </c>
      <c r="K512" s="25" t="s">
        <v>40</v>
      </c>
      <c r="L512" s="25" t="s">
        <v>30</v>
      </c>
      <c r="M512" s="25" t="s">
        <v>61</v>
      </c>
      <c r="N512" s="25" t="s">
        <v>32</v>
      </c>
      <c r="O512" t="s">
        <v>32</v>
      </c>
      <c r="P512" s="32">
        <v>-12080.130000000001</v>
      </c>
      <c r="Q512" s="30">
        <v>15195.54</v>
      </c>
      <c r="R512" s="30">
        <v>282864</v>
      </c>
      <c r="S512" s="30" t="s">
        <v>63</v>
      </c>
      <c r="T512" t="s">
        <v>33</v>
      </c>
      <c r="U512" s="31" t="s">
        <v>33</v>
      </c>
      <c r="V512" t="s">
        <v>33</v>
      </c>
      <c r="Y512" t="e">
        <f>VLOOKUP(A512,[2]!PRGX[[#All],[Proveedor]],1,FALSE)</f>
        <v>#REF!</v>
      </c>
    </row>
    <row r="513" spans="1:25" x14ac:dyDescent="0.25">
      <c r="A513" s="36">
        <v>323618</v>
      </c>
      <c r="B513" s="36" t="s">
        <v>547</v>
      </c>
      <c r="C513" s="37">
        <v>891</v>
      </c>
      <c r="D513" s="38">
        <v>211467448.87</v>
      </c>
      <c r="E513" s="38">
        <v>192296392.97</v>
      </c>
      <c r="F513" s="38">
        <v>19171055.899999999</v>
      </c>
      <c r="G513" s="38">
        <f>VLOOKUP(A513,'[1]saldos al 26May26'!$C$2:$I$1010,7,FALSE)</f>
        <v>1479717.1</v>
      </c>
      <c r="H513" s="39" t="s">
        <v>54</v>
      </c>
      <c r="I513" s="40"/>
      <c r="J513" s="41"/>
      <c r="K513" s="36" t="s">
        <v>29</v>
      </c>
      <c r="L513" s="36" t="s">
        <v>30</v>
      </c>
      <c r="M513" s="36" t="s">
        <v>55</v>
      </c>
      <c r="N513" s="25"/>
      <c r="O513" s="42" t="s">
        <v>87</v>
      </c>
      <c r="P513" s="32">
        <v>-3054748.29</v>
      </c>
      <c r="Q513" s="30">
        <v>1741317.18</v>
      </c>
      <c r="R513" s="30"/>
      <c r="S513" s="30" t="s">
        <v>33</v>
      </c>
      <c r="T513" t="s">
        <v>33</v>
      </c>
      <c r="U513" s="31" t="e">
        <v>#N/A</v>
      </c>
      <c r="V513" t="s">
        <v>34</v>
      </c>
      <c r="Y513" t="e">
        <f>VLOOKUP(A513,[2]!PRGX[[#All],[Proveedor]],1,FALSE)</f>
        <v>#REF!</v>
      </c>
    </row>
    <row r="514" spans="1:25" x14ac:dyDescent="0.25">
      <c r="A514" s="25">
        <v>21256</v>
      </c>
      <c r="B514" s="25" t="s">
        <v>548</v>
      </c>
      <c r="C514" s="26">
        <v>13071</v>
      </c>
      <c r="D514" s="27">
        <v>211350836.97999999</v>
      </c>
      <c r="E514" s="27">
        <v>163573237.37</v>
      </c>
      <c r="F514" s="27">
        <v>47777599.609999999</v>
      </c>
      <c r="G514" s="27">
        <f>VLOOKUP(A514,'[1]saldos al 26May26'!$C$2:$I$1010,7,FALSE)</f>
        <v>-4455392.62</v>
      </c>
      <c r="H514" s="27"/>
      <c r="I514" s="28"/>
      <c r="J514" s="29"/>
      <c r="K514" s="25" t="s">
        <v>40</v>
      </c>
      <c r="L514" s="25" t="s">
        <v>30</v>
      </c>
      <c r="M514" s="25" t="s">
        <v>55</v>
      </c>
      <c r="N514" s="25" t="s">
        <v>80</v>
      </c>
      <c r="O514" t="s">
        <v>80</v>
      </c>
      <c r="P514" s="32">
        <v>-3262272.21</v>
      </c>
      <c r="Q514" s="30">
        <v>-49032</v>
      </c>
      <c r="R514" s="30"/>
      <c r="S514" s="30" t="e">
        <v>#N/A</v>
      </c>
      <c r="T514" t="s">
        <v>34</v>
      </c>
      <c r="U514" s="31" t="e">
        <v>#N/A</v>
      </c>
      <c r="V514" t="s">
        <v>34</v>
      </c>
      <c r="Y514" t="e">
        <f>VLOOKUP(A514,[2]!PRGX[[#All],[Proveedor]],1,FALSE)</f>
        <v>#REF!</v>
      </c>
    </row>
    <row r="515" spans="1:25" x14ac:dyDescent="0.25">
      <c r="A515" s="25">
        <v>12560</v>
      </c>
      <c r="B515" s="25" t="s">
        <v>549</v>
      </c>
      <c r="C515" s="26">
        <v>5400</v>
      </c>
      <c r="D515" s="27">
        <v>210558261.41999999</v>
      </c>
      <c r="E515" s="27">
        <v>168307236.38999999</v>
      </c>
      <c r="F515" s="27">
        <v>42251025.030000001</v>
      </c>
      <c r="G515" s="27">
        <f>VLOOKUP(A515,'[1]saldos al 26May26'!$C$2:$I$1010,7,FALSE)</f>
        <v>-20999939.73</v>
      </c>
      <c r="H515" s="27"/>
      <c r="I515" s="28"/>
      <c r="J515" s="29"/>
      <c r="K515" s="25" t="s">
        <v>29</v>
      </c>
      <c r="L515" s="25" t="s">
        <v>30</v>
      </c>
      <c r="M515" s="25" t="s">
        <v>50</v>
      </c>
      <c r="N515" s="25"/>
      <c r="O515" s="43" t="s">
        <v>41</v>
      </c>
      <c r="P515" s="32">
        <v>-46968.18</v>
      </c>
      <c r="Q515" s="30">
        <v>0</v>
      </c>
      <c r="R515" s="30">
        <v>1002188.47</v>
      </c>
      <c r="S515" s="30" t="s">
        <v>63</v>
      </c>
      <c r="T515" t="s">
        <v>33</v>
      </c>
      <c r="U515" s="31">
        <v>0</v>
      </c>
      <c r="V515" t="s">
        <v>42</v>
      </c>
      <c r="Y515" t="e">
        <f>VLOOKUP(A515,[2]!PRGX[[#All],[Proveedor]],1,FALSE)</f>
        <v>#REF!</v>
      </c>
    </row>
    <row r="516" spans="1:25" x14ac:dyDescent="0.25">
      <c r="A516" s="25">
        <v>339564</v>
      </c>
      <c r="B516" s="25" t="s">
        <v>550</v>
      </c>
      <c r="C516" s="26">
        <v>3473</v>
      </c>
      <c r="D516" s="27">
        <v>210545471</v>
      </c>
      <c r="E516" s="27">
        <v>171531398</v>
      </c>
      <c r="F516" s="27">
        <v>39014073</v>
      </c>
      <c r="G516" s="27">
        <f>VLOOKUP(A516,'[1]saldos al 26May26'!$C$2:$I$1010,7,FALSE)</f>
        <v>-29793412.440000001</v>
      </c>
      <c r="H516" s="27"/>
      <c r="I516" s="28"/>
      <c r="J516" s="29">
        <v>464408.83027663792</v>
      </c>
      <c r="K516" s="25" t="s">
        <v>40</v>
      </c>
      <c r="L516" s="25" t="s">
        <v>30</v>
      </c>
      <c r="M516" s="25" t="s">
        <v>50</v>
      </c>
      <c r="N516" s="25" t="s">
        <v>45</v>
      </c>
      <c r="O516" t="s">
        <v>45</v>
      </c>
      <c r="P516" s="32">
        <v>-352274.4</v>
      </c>
      <c r="Q516" s="30">
        <v>24000</v>
      </c>
      <c r="R516" s="30"/>
      <c r="S516" s="30" t="e">
        <v>#N/A</v>
      </c>
      <c r="T516" t="s">
        <v>34</v>
      </c>
      <c r="U516" s="31" t="e">
        <v>#N/A</v>
      </c>
      <c r="V516" t="s">
        <v>34</v>
      </c>
      <c r="Y516" t="e">
        <f>VLOOKUP(A516,[2]!PRGX[[#All],[Proveedor]],1,FALSE)</f>
        <v>#REF!</v>
      </c>
    </row>
    <row r="517" spans="1:25" x14ac:dyDescent="0.25">
      <c r="A517" s="25">
        <v>342907</v>
      </c>
      <c r="B517" s="25" t="s">
        <v>551</v>
      </c>
      <c r="C517" s="26">
        <v>15140</v>
      </c>
      <c r="D517" s="27">
        <v>232834747</v>
      </c>
      <c r="E517" s="27">
        <v>177396571.59999999</v>
      </c>
      <c r="F517" s="27">
        <v>55438175.399999999</v>
      </c>
      <c r="G517" s="27">
        <f>VLOOKUP(A517,'[1]saldos al 26May26'!$C$2:$I$1010,7,FALSE)</f>
        <v>-8539640.2300000004</v>
      </c>
      <c r="H517" s="27"/>
      <c r="I517" s="28"/>
      <c r="J517" s="29">
        <v>45417.392499978399</v>
      </c>
      <c r="K517" s="25" t="s">
        <v>40</v>
      </c>
      <c r="L517" s="25" t="s">
        <v>30</v>
      </c>
      <c r="M517" s="25" t="s">
        <v>55</v>
      </c>
      <c r="N517" s="25" t="s">
        <v>56</v>
      </c>
      <c r="O517" t="s">
        <v>56</v>
      </c>
      <c r="P517" s="32">
        <v>-1426436.17</v>
      </c>
      <c r="Q517" s="30">
        <v>0</v>
      </c>
      <c r="R517" s="30"/>
      <c r="S517" s="30" t="e">
        <v>#N/A</v>
      </c>
      <c r="T517" t="s">
        <v>34</v>
      </c>
      <c r="U517" s="31" t="e">
        <v>#N/A</v>
      </c>
      <c r="V517" t="s">
        <v>34</v>
      </c>
      <c r="Y517" t="e">
        <f>VLOOKUP(A517,[2]!PRGX[[#All],[Proveedor]],1,FALSE)</f>
        <v>#REF!</v>
      </c>
    </row>
    <row r="518" spans="1:25" x14ac:dyDescent="0.25">
      <c r="A518" s="25">
        <v>382689</v>
      </c>
      <c r="B518" s="25" t="s">
        <v>552</v>
      </c>
      <c r="C518" s="26">
        <v>301</v>
      </c>
      <c r="D518" s="27">
        <v>208486001.09</v>
      </c>
      <c r="E518" s="27">
        <v>111988741.44</v>
      </c>
      <c r="F518" s="27">
        <v>96497259.650000006</v>
      </c>
      <c r="G518" s="27">
        <f>VLOOKUP(A518,'[1]saldos al 26May26'!$C$2:$I$1010,7,FALSE)</f>
        <v>-3513014.52</v>
      </c>
      <c r="H518" s="27"/>
      <c r="I518" s="28"/>
      <c r="J518" s="29">
        <v>57548.872025079996</v>
      </c>
      <c r="K518" s="25" t="s">
        <v>40</v>
      </c>
      <c r="L518" s="25" t="s">
        <v>30</v>
      </c>
      <c r="M518" s="25" t="s">
        <v>55</v>
      </c>
      <c r="N518" s="25" t="s">
        <v>41</v>
      </c>
      <c r="O518" t="s">
        <v>41</v>
      </c>
      <c r="P518" s="30">
        <v>0</v>
      </c>
      <c r="Q518" s="30">
        <v>0</v>
      </c>
      <c r="R518" s="30">
        <v>21727.86</v>
      </c>
      <c r="S518" s="30" t="e">
        <v>#N/A</v>
      </c>
      <c r="T518" t="s">
        <v>34</v>
      </c>
      <c r="U518" s="31" t="e">
        <v>#N/A</v>
      </c>
      <c r="V518" t="s">
        <v>34</v>
      </c>
      <c r="Y518" t="e">
        <f>VLOOKUP(A518,[2]!PRGX[[#All],[Proveedor]],1,FALSE)</f>
        <v>#REF!</v>
      </c>
    </row>
    <row r="519" spans="1:25" x14ac:dyDescent="0.25">
      <c r="A519" s="25">
        <v>4226</v>
      </c>
      <c r="B519" s="25" t="s">
        <v>553</v>
      </c>
      <c r="C519" s="26">
        <v>8069</v>
      </c>
      <c r="D519" s="27">
        <v>207812656.71000001</v>
      </c>
      <c r="E519" s="27">
        <v>170135188.71000001</v>
      </c>
      <c r="F519" s="27">
        <v>37677468</v>
      </c>
      <c r="G519" s="27">
        <f>VLOOKUP(A519,'[1]saldos al 26May26'!$C$2:$I$1010,7,FALSE)</f>
        <v>-7047975.7400000002</v>
      </c>
      <c r="H519" s="27"/>
      <c r="I519" s="28"/>
      <c r="J519" s="29"/>
      <c r="K519" s="25" t="s">
        <v>29</v>
      </c>
      <c r="L519" s="25" t="s">
        <v>30</v>
      </c>
      <c r="M519" s="25" t="s">
        <v>55</v>
      </c>
      <c r="N519" s="25"/>
      <c r="O519" t="s">
        <v>47</v>
      </c>
      <c r="P519" s="30">
        <v>0</v>
      </c>
      <c r="Q519" s="30">
        <v>0</v>
      </c>
      <c r="R519" s="30">
        <v>370000</v>
      </c>
      <c r="S519" s="30" t="s">
        <v>63</v>
      </c>
      <c r="T519" t="s">
        <v>33</v>
      </c>
      <c r="U519" s="31">
        <v>0</v>
      </c>
      <c r="V519" t="s">
        <v>42</v>
      </c>
      <c r="Y519" t="e">
        <f>VLOOKUP(A519,[2]!PRGX[[#All],[Proveedor]],1,FALSE)</f>
        <v>#REF!</v>
      </c>
    </row>
    <row r="520" spans="1:25" x14ac:dyDescent="0.25">
      <c r="A520" s="25">
        <v>98947</v>
      </c>
      <c r="B520" s="25" t="s">
        <v>554</v>
      </c>
      <c r="C520" s="26">
        <v>25002</v>
      </c>
      <c r="D520" s="27">
        <v>207523712.81</v>
      </c>
      <c r="E520" s="27">
        <v>201308928.83000001</v>
      </c>
      <c r="F520" s="27">
        <v>6214783.9800000004</v>
      </c>
      <c r="G520" s="27">
        <f>VLOOKUP(A520,'[1]saldos al 26May26'!$C$2:$I$1010,7,FALSE)</f>
        <v>-2340818.34</v>
      </c>
      <c r="H520" s="27"/>
      <c r="I520" s="28"/>
      <c r="J520" s="29"/>
      <c r="K520" s="25" t="s">
        <v>29</v>
      </c>
      <c r="L520" s="25" t="s">
        <v>30</v>
      </c>
      <c r="M520" s="25" t="s">
        <v>59</v>
      </c>
      <c r="N520" s="25"/>
      <c r="O520" t="s">
        <v>36</v>
      </c>
      <c r="P520" s="32">
        <v>-119753.59999999999</v>
      </c>
      <c r="Q520" s="30">
        <v>469357.03</v>
      </c>
      <c r="R520" s="30"/>
      <c r="S520" s="30" t="s">
        <v>33</v>
      </c>
      <c r="T520" t="s">
        <v>33</v>
      </c>
      <c r="U520" s="31" t="s">
        <v>33</v>
      </c>
      <c r="V520" t="s">
        <v>33</v>
      </c>
      <c r="Y520" t="e">
        <f>VLOOKUP(A520,[2]!PRGX[[#All],[Proveedor]],1,FALSE)</f>
        <v>#REF!</v>
      </c>
    </row>
    <row r="521" spans="1:25" x14ac:dyDescent="0.25">
      <c r="A521" s="25">
        <v>22582</v>
      </c>
      <c r="B521" s="25" t="s">
        <v>555</v>
      </c>
      <c r="C521" s="26">
        <v>51059</v>
      </c>
      <c r="D521" s="27">
        <v>205989598.5</v>
      </c>
      <c r="E521" s="27">
        <v>161360785.5</v>
      </c>
      <c r="F521" s="27">
        <v>44628813</v>
      </c>
      <c r="G521" s="27">
        <f>VLOOKUP(A521,'[1]saldos al 26May26'!$C$2:$I$1010,7,FALSE)</f>
        <v>-3131274.39</v>
      </c>
      <c r="H521" s="27"/>
      <c r="I521" s="28"/>
      <c r="J521" s="29"/>
      <c r="K521" s="25" t="s">
        <v>29</v>
      </c>
      <c r="L521" s="25" t="s">
        <v>30</v>
      </c>
      <c r="M521" s="25" t="s">
        <v>50</v>
      </c>
      <c r="N521" s="25"/>
      <c r="O521" t="s">
        <v>70</v>
      </c>
      <c r="P521" s="32">
        <v>-64636.54</v>
      </c>
      <c r="Q521" s="30">
        <v>0</v>
      </c>
      <c r="R521" s="30">
        <v>216567.88</v>
      </c>
      <c r="S521" s="30" t="s">
        <v>63</v>
      </c>
      <c r="T521" t="s">
        <v>33</v>
      </c>
      <c r="U521" s="31" t="e">
        <v>#N/A</v>
      </c>
      <c r="V521" t="s">
        <v>34</v>
      </c>
      <c r="Y521" t="e">
        <f>VLOOKUP(A521,[2]!PRGX[[#All],[Proveedor]],1,FALSE)</f>
        <v>#REF!</v>
      </c>
    </row>
    <row r="522" spans="1:25" x14ac:dyDescent="0.25">
      <c r="A522" s="25">
        <v>92080</v>
      </c>
      <c r="B522" s="25" t="s">
        <v>556</v>
      </c>
      <c r="C522" s="26">
        <v>149953</v>
      </c>
      <c r="D522" s="27">
        <v>205827487.84099999</v>
      </c>
      <c r="E522" s="27">
        <v>164704793.02899998</v>
      </c>
      <c r="F522" s="27">
        <v>41122694.811999999</v>
      </c>
      <c r="G522" s="27">
        <f>VLOOKUP(A522,'[1]saldos al 26May26'!$C$2:$I$1010,7,FALSE)</f>
        <v>-2337801.91</v>
      </c>
      <c r="H522" s="27"/>
      <c r="I522" s="28"/>
      <c r="J522" s="29"/>
      <c r="K522" s="25" t="s">
        <v>29</v>
      </c>
      <c r="L522" s="25" t="s">
        <v>30</v>
      </c>
      <c r="M522" s="25" t="s">
        <v>50</v>
      </c>
      <c r="N522" s="25"/>
      <c r="O522" t="s">
        <v>32</v>
      </c>
      <c r="P522" s="32">
        <v>-97554.63</v>
      </c>
      <c r="Q522" s="30">
        <v>334092.3</v>
      </c>
      <c r="R522" s="30"/>
      <c r="S522" s="30" t="s">
        <v>33</v>
      </c>
      <c r="T522" t="s">
        <v>33</v>
      </c>
      <c r="U522" s="31" t="e">
        <v>#N/A</v>
      </c>
      <c r="V522" t="s">
        <v>34</v>
      </c>
      <c r="Y522" t="e">
        <f>VLOOKUP(A522,[2]!PRGX[[#All],[Proveedor]],1,FALSE)</f>
        <v>#REF!</v>
      </c>
    </row>
    <row r="523" spans="1:25" x14ac:dyDescent="0.25">
      <c r="A523" s="25">
        <v>398289</v>
      </c>
      <c r="B523" s="25" t="s">
        <v>557</v>
      </c>
      <c r="C523" s="26">
        <v>15633</v>
      </c>
      <c r="D523" s="27">
        <v>205825131.62</v>
      </c>
      <c r="E523" s="27">
        <v>153525577.77000001</v>
      </c>
      <c r="F523" s="27">
        <v>52299553.850000001</v>
      </c>
      <c r="G523" s="27">
        <f>VLOOKUP(A523,'[1]saldos al 26May26'!$C$2:$I$1010,7,FALSE)</f>
        <v>-8398461.9100000001</v>
      </c>
      <c r="H523" s="27"/>
      <c r="I523" s="28"/>
      <c r="J523" s="29">
        <v>341891.62461595202</v>
      </c>
      <c r="K523" s="25" t="s">
        <v>40</v>
      </c>
      <c r="L523" s="25" t="s">
        <v>30</v>
      </c>
      <c r="M523" s="25" t="s">
        <v>31</v>
      </c>
      <c r="N523" s="25" t="s">
        <v>87</v>
      </c>
      <c r="O523" t="s">
        <v>87</v>
      </c>
      <c r="P523" s="32">
        <v>-96137.27</v>
      </c>
      <c r="Q523" s="30">
        <v>0</v>
      </c>
      <c r="R523" s="30"/>
      <c r="S523" s="30" t="s">
        <v>63</v>
      </c>
      <c r="T523" t="s">
        <v>33</v>
      </c>
      <c r="U523" s="31" t="s">
        <v>33</v>
      </c>
      <c r="V523" t="s">
        <v>33</v>
      </c>
      <c r="Y523" t="e">
        <f>VLOOKUP(A523,[2]!PRGX[[#All],[Proveedor]],1,FALSE)</f>
        <v>#REF!</v>
      </c>
    </row>
    <row r="524" spans="1:25" x14ac:dyDescent="0.25">
      <c r="A524" s="25">
        <v>385534</v>
      </c>
      <c r="B524" s="25" t="s">
        <v>558</v>
      </c>
      <c r="C524" s="26">
        <v>40083</v>
      </c>
      <c r="D524" s="27">
        <v>204413779.91</v>
      </c>
      <c r="E524" s="27">
        <v>164444170.94999999</v>
      </c>
      <c r="F524" s="27">
        <v>39969608.960000001</v>
      </c>
      <c r="G524" s="27">
        <f>VLOOKUP(A524,'[1]saldos al 26May26'!$C$2:$I$1010,7,FALSE)</f>
        <v>-4498258.26</v>
      </c>
      <c r="H524" s="27"/>
      <c r="I524" s="28"/>
      <c r="J524" s="29">
        <v>161114.24344377802</v>
      </c>
      <c r="K524" s="25" t="s">
        <v>40</v>
      </c>
      <c r="L524" s="25" t="s">
        <v>30</v>
      </c>
      <c r="M524" s="25" t="s">
        <v>31</v>
      </c>
      <c r="N524" s="25" t="s">
        <v>70</v>
      </c>
      <c r="O524" t="s">
        <v>70</v>
      </c>
      <c r="P524" s="32">
        <v>-547396.06000000006</v>
      </c>
      <c r="Q524" s="30">
        <v>75188.38</v>
      </c>
      <c r="R524" s="30"/>
      <c r="S524" s="30" t="s">
        <v>63</v>
      </c>
      <c r="T524" s="57" t="s">
        <v>33</v>
      </c>
      <c r="U524" s="31" t="s">
        <v>33</v>
      </c>
      <c r="V524" t="s">
        <v>33</v>
      </c>
      <c r="Y524" t="e">
        <f>VLOOKUP(A524,[2]!PRGX[[#All],[Proveedor]],1,FALSE)</f>
        <v>#REF!</v>
      </c>
    </row>
    <row r="525" spans="1:25" x14ac:dyDescent="0.25">
      <c r="A525" s="52">
        <v>52480</v>
      </c>
      <c r="B525" s="52" t="s">
        <v>559</v>
      </c>
      <c r="C525" s="53">
        <v>17215</v>
      </c>
      <c r="D525" s="54">
        <v>204317919.13</v>
      </c>
      <c r="E525" s="27">
        <v>174698285.88</v>
      </c>
      <c r="F525" s="27">
        <v>29619633.25</v>
      </c>
      <c r="G525" s="54">
        <f>VLOOKUP(A525,'[1]saldos al 26May26'!$C$2:$I$1010,7,FALSE)</f>
        <v>-3051070.98</v>
      </c>
      <c r="H525" s="54"/>
      <c r="I525" s="55"/>
      <c r="J525" s="56">
        <v>1154248.4026903249</v>
      </c>
      <c r="K525" s="52" t="s">
        <v>40</v>
      </c>
      <c r="L525" s="52" t="s">
        <v>30</v>
      </c>
      <c r="M525" s="52" t="s">
        <v>59</v>
      </c>
      <c r="N525" s="52" t="s">
        <v>45</v>
      </c>
      <c r="O525" s="57" t="s">
        <v>45</v>
      </c>
      <c r="P525" s="59">
        <v>-56825723.18</v>
      </c>
      <c r="Q525" s="58">
        <v>189179.27</v>
      </c>
      <c r="R525" s="30">
        <v>12276.81</v>
      </c>
      <c r="S525" s="30" t="s">
        <v>63</v>
      </c>
      <c r="T525" s="57" t="s">
        <v>33</v>
      </c>
      <c r="U525" s="31" t="s">
        <v>33</v>
      </c>
      <c r="V525" t="s">
        <v>33</v>
      </c>
      <c r="Y525" t="e">
        <f>VLOOKUP(A525,[2]!PRGX[[#All],[Proveedor]],1,FALSE)</f>
        <v>#REF!</v>
      </c>
    </row>
    <row r="526" spans="1:25" x14ac:dyDescent="0.25">
      <c r="A526" s="25">
        <v>61077</v>
      </c>
      <c r="B526" s="25" t="s">
        <v>525</v>
      </c>
      <c r="C526" s="26">
        <v>18434</v>
      </c>
      <c r="D526" s="27">
        <v>203127777.88999999</v>
      </c>
      <c r="E526" s="27">
        <v>156494314.54999998</v>
      </c>
      <c r="F526" s="27">
        <v>46633463.340000004</v>
      </c>
      <c r="G526" s="27">
        <f>VLOOKUP(A526,'[1]saldos al 26May26'!$C$2:$I$1010,7,FALSE)</f>
        <v>-2113965.5699999998</v>
      </c>
      <c r="H526" s="27"/>
      <c r="I526" s="28"/>
      <c r="J526" s="29"/>
      <c r="K526" s="25" t="s">
        <v>29</v>
      </c>
      <c r="L526" s="25" t="s">
        <v>30</v>
      </c>
      <c r="M526" s="25" t="s">
        <v>55</v>
      </c>
      <c r="N526" s="25"/>
      <c r="O526" t="s">
        <v>32</v>
      </c>
      <c r="P526" s="30">
        <v>935938.36</v>
      </c>
      <c r="Q526" s="30">
        <v>1564404.96</v>
      </c>
      <c r="R526" s="30">
        <v>112228</v>
      </c>
      <c r="S526" s="30" t="s">
        <v>33</v>
      </c>
      <c r="T526" t="s">
        <v>33</v>
      </c>
      <c r="U526" s="31" t="e">
        <v>#N/A</v>
      </c>
      <c r="V526" t="s">
        <v>34</v>
      </c>
      <c r="Y526" t="e">
        <f>VLOOKUP(A526,[2]!PRGX[[#All],[Proveedor]],1,FALSE)</f>
        <v>#REF!</v>
      </c>
    </row>
    <row r="527" spans="1:25" x14ac:dyDescent="0.25">
      <c r="A527" s="25">
        <v>26393</v>
      </c>
      <c r="B527" s="25" t="s">
        <v>560</v>
      </c>
      <c r="C527" s="26">
        <v>13026</v>
      </c>
      <c r="D527" s="27">
        <v>203050606.12</v>
      </c>
      <c r="E527" s="27">
        <v>178397856.31</v>
      </c>
      <c r="F527" s="27">
        <v>24652749.809999999</v>
      </c>
      <c r="G527" s="27">
        <f>VLOOKUP(A527,'[1]saldos al 26May26'!$C$2:$I$1010,7,FALSE)</f>
        <v>-6367684.0800000001</v>
      </c>
      <c r="H527" s="27"/>
      <c r="I527" s="28"/>
      <c r="J527" s="29"/>
      <c r="K527" s="25" t="s">
        <v>29</v>
      </c>
      <c r="L527" s="25" t="s">
        <v>30</v>
      </c>
      <c r="M527" s="25" t="s">
        <v>31</v>
      </c>
      <c r="N527" s="25"/>
      <c r="O527" t="s">
        <v>51</v>
      </c>
      <c r="P527" s="30">
        <v>450727.01000000007</v>
      </c>
      <c r="Q527" s="30">
        <v>641007.1</v>
      </c>
      <c r="R527" s="30"/>
      <c r="S527" s="30" t="s">
        <v>63</v>
      </c>
      <c r="T527" t="s">
        <v>33</v>
      </c>
      <c r="U527" s="31" t="e">
        <v>#N/A</v>
      </c>
      <c r="V527" t="s">
        <v>34</v>
      </c>
      <c r="Y527" t="e">
        <f>VLOOKUP(A527,[2]!PRGX[[#All],[Proveedor]],1,FALSE)</f>
        <v>#REF!</v>
      </c>
    </row>
    <row r="528" spans="1:25" x14ac:dyDescent="0.25">
      <c r="A528" s="25">
        <v>22068</v>
      </c>
      <c r="B528" s="25" t="s">
        <v>561</v>
      </c>
      <c r="C528" s="26">
        <v>19922</v>
      </c>
      <c r="D528" s="27">
        <v>202918604.41</v>
      </c>
      <c r="E528" s="27">
        <v>167338524.41</v>
      </c>
      <c r="F528" s="27">
        <v>35580080</v>
      </c>
      <c r="G528" s="27">
        <f>VLOOKUP(A528,'[1]saldos al 26May26'!$C$2:$I$1010,7,FALSE)</f>
        <v>-13022764.630000001</v>
      </c>
      <c r="H528" s="27"/>
      <c r="I528" s="28"/>
      <c r="J528" s="29">
        <v>1136864.424980876</v>
      </c>
      <c r="K528" s="25" t="s">
        <v>40</v>
      </c>
      <c r="L528" s="25" t="s">
        <v>30</v>
      </c>
      <c r="M528" s="25" t="s">
        <v>61</v>
      </c>
      <c r="N528" s="25" t="s">
        <v>41</v>
      </c>
      <c r="O528" t="s">
        <v>41</v>
      </c>
      <c r="P528" s="32">
        <v>-5124997.6500000004</v>
      </c>
      <c r="Q528" s="30">
        <v>0</v>
      </c>
      <c r="R528" s="30">
        <v>121172.17</v>
      </c>
      <c r="S528" s="30" t="s">
        <v>63</v>
      </c>
      <c r="T528" t="s">
        <v>33</v>
      </c>
      <c r="U528" s="31" t="s">
        <v>33</v>
      </c>
      <c r="V528" t="s">
        <v>33</v>
      </c>
      <c r="Y528" t="e">
        <f>VLOOKUP(A528,[2]!PRGX[[#All],[Proveedor]],1,FALSE)</f>
        <v>#REF!</v>
      </c>
    </row>
    <row r="529" spans="1:26" x14ac:dyDescent="0.25">
      <c r="A529" s="25">
        <v>17183</v>
      </c>
      <c r="B529" s="25" t="s">
        <v>562</v>
      </c>
      <c r="C529" s="26">
        <v>8278</v>
      </c>
      <c r="D529" s="27">
        <v>202108342.53</v>
      </c>
      <c r="E529" s="27">
        <v>187915460.53</v>
      </c>
      <c r="F529" s="27">
        <v>14192882</v>
      </c>
      <c r="G529" s="27">
        <f>VLOOKUP(A529,'[1]saldos al 26May26'!$C$2:$I$1010,7,FALSE)</f>
        <v>0</v>
      </c>
      <c r="H529" s="39" t="s">
        <v>54</v>
      </c>
      <c r="I529" s="28"/>
      <c r="J529" s="29"/>
      <c r="K529" s="25" t="s">
        <v>29</v>
      </c>
      <c r="L529" s="25" t="s">
        <v>30</v>
      </c>
      <c r="M529" s="36" t="s">
        <v>55</v>
      </c>
      <c r="N529" s="25"/>
      <c r="O529" t="s">
        <v>51</v>
      </c>
      <c r="P529" s="32">
        <v>-10690.56</v>
      </c>
      <c r="Q529" s="30">
        <v>0</v>
      </c>
      <c r="R529" s="30"/>
      <c r="S529" s="30" t="s">
        <v>63</v>
      </c>
      <c r="T529" t="s">
        <v>33</v>
      </c>
      <c r="U529" s="31">
        <v>0</v>
      </c>
      <c r="V529" t="s">
        <v>42</v>
      </c>
      <c r="Y529" t="e">
        <f>VLOOKUP(A529,[2]!PRGX[[#All],[Proveedor]],1,FALSE)</f>
        <v>#REF!</v>
      </c>
    </row>
    <row r="530" spans="1:26" x14ac:dyDescent="0.25">
      <c r="A530" s="25">
        <v>10510</v>
      </c>
      <c r="B530" s="25" t="s">
        <v>563</v>
      </c>
      <c r="C530" s="26">
        <v>1142</v>
      </c>
      <c r="D530" s="27">
        <v>202043334.46000001</v>
      </c>
      <c r="E530" s="27">
        <v>130141181.24000001</v>
      </c>
      <c r="F530" s="27">
        <v>71902153.219999999</v>
      </c>
      <c r="G530" s="27">
        <f>VLOOKUP(A530,'[1]saldos al 26May26'!$C$2:$I$1010,7,FALSE)</f>
        <v>-81844523.700000003</v>
      </c>
      <c r="H530" s="27"/>
      <c r="I530" s="28"/>
      <c r="J530" s="29"/>
      <c r="K530" s="25" t="s">
        <v>40</v>
      </c>
      <c r="L530" s="25" t="s">
        <v>30</v>
      </c>
      <c r="M530" s="25" t="s">
        <v>55</v>
      </c>
      <c r="N530" s="25" t="s">
        <v>87</v>
      </c>
      <c r="O530" t="s">
        <v>87</v>
      </c>
      <c r="P530" s="32">
        <v>-423382.93</v>
      </c>
      <c r="Q530" s="30">
        <v>0</v>
      </c>
      <c r="R530" s="30">
        <v>551119.98</v>
      </c>
      <c r="S530" s="30" t="s">
        <v>33</v>
      </c>
      <c r="T530" t="s">
        <v>33</v>
      </c>
      <c r="U530" s="31" t="e">
        <v>#N/A</v>
      </c>
      <c r="V530" t="s">
        <v>34</v>
      </c>
      <c r="Y530" t="e">
        <f>VLOOKUP(A530,[2]!PRGX[[#All],[Proveedor]],1,FALSE)</f>
        <v>#REF!</v>
      </c>
    </row>
    <row r="531" spans="1:26" x14ac:dyDescent="0.25">
      <c r="A531" s="25">
        <v>22225</v>
      </c>
      <c r="B531" s="25" t="s">
        <v>564</v>
      </c>
      <c r="C531" s="26">
        <v>11087</v>
      </c>
      <c r="D531" s="27">
        <v>201369872.53999999</v>
      </c>
      <c r="E531" s="27">
        <v>180847145.50999999</v>
      </c>
      <c r="F531" s="27">
        <v>20522727.030000001</v>
      </c>
      <c r="G531" s="27">
        <f>VLOOKUP(A531,'[1]saldos al 26May26'!$C$2:$I$1010,7,FALSE)</f>
        <v>35762.28</v>
      </c>
      <c r="H531" s="39" t="s">
        <v>54</v>
      </c>
      <c r="I531" s="28"/>
      <c r="J531" s="29"/>
      <c r="K531" s="25" t="s">
        <v>29</v>
      </c>
      <c r="L531" s="25" t="s">
        <v>30</v>
      </c>
      <c r="M531" s="25" t="s">
        <v>55</v>
      </c>
      <c r="N531" s="25"/>
      <c r="O531" t="s">
        <v>47</v>
      </c>
      <c r="P531" s="32">
        <v>-6175165.6199999992</v>
      </c>
      <c r="Q531" s="30">
        <v>0</v>
      </c>
      <c r="R531" s="30"/>
      <c r="S531" s="30" t="s">
        <v>63</v>
      </c>
      <c r="T531" t="s">
        <v>33</v>
      </c>
      <c r="U531" s="31">
        <v>0</v>
      </c>
      <c r="V531" t="s">
        <v>42</v>
      </c>
      <c r="Y531" t="e">
        <f>VLOOKUP(A531,[2]!PRGX[[#All],[Proveedor]],1,FALSE)</f>
        <v>#REF!</v>
      </c>
    </row>
    <row r="532" spans="1:26" x14ac:dyDescent="0.25">
      <c r="A532" s="25">
        <v>21239</v>
      </c>
      <c r="B532" s="25" t="s">
        <v>565</v>
      </c>
      <c r="C532" s="26">
        <v>1321</v>
      </c>
      <c r="D532" s="27">
        <v>201320417.61719999</v>
      </c>
      <c r="E532" s="27">
        <v>137048547.8845</v>
      </c>
      <c r="F532" s="27">
        <v>64271869.732699998</v>
      </c>
      <c r="G532" s="27">
        <f>VLOOKUP(A532,'[1]saldos al 26May26'!$C$2:$I$1010,7,FALSE)</f>
        <v>-1960234.69</v>
      </c>
      <c r="H532" s="27"/>
      <c r="I532" s="28"/>
      <c r="J532" s="29"/>
      <c r="K532" s="25" t="s">
        <v>29</v>
      </c>
      <c r="L532" s="25" t="s">
        <v>30</v>
      </c>
      <c r="M532" s="25" t="s">
        <v>50</v>
      </c>
      <c r="N532" s="25"/>
      <c r="O532" t="s">
        <v>96</v>
      </c>
      <c r="P532" s="32">
        <v>-2718647.4699999997</v>
      </c>
      <c r="Q532" s="30">
        <v>280000</v>
      </c>
      <c r="R532" s="30">
        <v>60576</v>
      </c>
      <c r="S532" s="30">
        <v>0</v>
      </c>
      <c r="T532" t="s">
        <v>33</v>
      </c>
      <c r="U532" s="31" t="e">
        <v>#N/A</v>
      </c>
      <c r="V532" t="s">
        <v>34</v>
      </c>
      <c r="Y532" t="e">
        <f>VLOOKUP(A532,[2]!PRGX[[#All],[Proveedor]],1,FALSE)</f>
        <v>#REF!</v>
      </c>
    </row>
    <row r="533" spans="1:26" x14ac:dyDescent="0.25">
      <c r="A533" s="25">
        <v>328724</v>
      </c>
      <c r="B533" s="25" t="s">
        <v>566</v>
      </c>
      <c r="C533" s="26">
        <v>32950</v>
      </c>
      <c r="D533" s="27">
        <v>200962612.37040001</v>
      </c>
      <c r="E533" s="27">
        <v>176442989.6904</v>
      </c>
      <c r="F533" s="27">
        <v>24519622.68</v>
      </c>
      <c r="G533" s="27">
        <f>VLOOKUP(A533,'[1]saldos al 26May26'!$C$2:$I$1010,7,FALSE)</f>
        <v>-10835024.85</v>
      </c>
      <c r="H533" s="27"/>
      <c r="I533" s="28"/>
      <c r="J533" s="29"/>
      <c r="K533" s="25" t="s">
        <v>29</v>
      </c>
      <c r="L533" s="25" t="s">
        <v>30</v>
      </c>
      <c r="M533" s="25" t="s">
        <v>50</v>
      </c>
      <c r="N533" s="25"/>
      <c r="O533" t="s">
        <v>36</v>
      </c>
      <c r="P533" s="32">
        <v>-60655.100000000006</v>
      </c>
      <c r="Q533" s="30">
        <v>52124.29</v>
      </c>
      <c r="R533" s="30"/>
      <c r="S533" s="30" t="s">
        <v>63</v>
      </c>
      <c r="T533" t="s">
        <v>33</v>
      </c>
      <c r="U533" s="31">
        <v>0</v>
      </c>
      <c r="V533" t="s">
        <v>42</v>
      </c>
      <c r="Y533" t="e">
        <f>VLOOKUP(A533,[2]!PRGX[[#All],[Proveedor]],1,FALSE)</f>
        <v>#REF!</v>
      </c>
    </row>
    <row r="534" spans="1:26" x14ac:dyDescent="0.25">
      <c r="A534" s="25">
        <v>25269</v>
      </c>
      <c r="B534" s="25" t="s">
        <v>567</v>
      </c>
      <c r="C534" s="26">
        <v>798</v>
      </c>
      <c r="D534" s="27">
        <v>200916835.94</v>
      </c>
      <c r="E534" s="27">
        <v>48758561.680000007</v>
      </c>
      <c r="F534" s="27">
        <v>152158274.25999999</v>
      </c>
      <c r="G534" s="27">
        <f>VLOOKUP(A534,'[1]saldos al 26May26'!$C$2:$I$1010,7,FALSE)</f>
        <v>-12669002.9</v>
      </c>
      <c r="H534" s="27"/>
      <c r="I534" s="28"/>
      <c r="J534" s="29"/>
      <c r="K534" s="25" t="s">
        <v>40</v>
      </c>
      <c r="L534" s="25" t="s">
        <v>30</v>
      </c>
      <c r="M534" s="25" t="s">
        <v>50</v>
      </c>
      <c r="N534" s="25" t="s">
        <v>80</v>
      </c>
      <c r="O534" t="s">
        <v>80</v>
      </c>
      <c r="P534" s="32">
        <v>-807731.71</v>
      </c>
      <c r="Q534" s="30">
        <v>0</v>
      </c>
      <c r="R534" s="30"/>
      <c r="S534" s="30" t="s">
        <v>63</v>
      </c>
      <c r="T534" s="57" t="s">
        <v>33</v>
      </c>
      <c r="U534" s="31" t="s">
        <v>33</v>
      </c>
      <c r="V534" t="s">
        <v>33</v>
      </c>
      <c r="Y534" t="e">
        <f>VLOOKUP(A534,[2]!PRGX[[#All],[Proveedor]],1,FALSE)</f>
        <v>#REF!</v>
      </c>
    </row>
    <row r="535" spans="1:26" x14ac:dyDescent="0.25">
      <c r="A535" s="25">
        <v>384958</v>
      </c>
      <c r="B535" s="25" t="s">
        <v>568</v>
      </c>
      <c r="C535" s="26">
        <v>19389</v>
      </c>
      <c r="D535" s="27">
        <v>200016359.75</v>
      </c>
      <c r="E535" s="27">
        <v>179336849.06</v>
      </c>
      <c r="F535" s="27">
        <v>20679510.690000001</v>
      </c>
      <c r="G535" s="27">
        <f>VLOOKUP(A535,'[1]saldos al 26May26'!$C$2:$I$1010,7,FALSE)</f>
        <v>-3799615.83</v>
      </c>
      <c r="H535" s="27"/>
      <c r="I535" s="28"/>
      <c r="J535" s="29">
        <v>46920.058805478002</v>
      </c>
      <c r="K535" s="25" t="s">
        <v>40</v>
      </c>
      <c r="L535" s="25" t="s">
        <v>30</v>
      </c>
      <c r="M535" s="25" t="s">
        <v>55</v>
      </c>
      <c r="N535" s="25" t="s">
        <v>47</v>
      </c>
      <c r="O535" t="s">
        <v>47</v>
      </c>
      <c r="P535" s="30">
        <v>69406.430000000008</v>
      </c>
      <c r="Q535" s="30">
        <v>176402.49</v>
      </c>
      <c r="R535" s="30"/>
      <c r="S535" s="30" t="e">
        <v>#N/A</v>
      </c>
      <c r="T535" t="s">
        <v>34</v>
      </c>
      <c r="U535" s="31">
        <v>0</v>
      </c>
      <c r="V535" t="s">
        <v>42</v>
      </c>
      <c r="Y535" t="e">
        <f>VLOOKUP(A535,[2]!PRGX[[#All],[Proveedor]],1,FALSE)</f>
        <v>#REF!</v>
      </c>
    </row>
    <row r="536" spans="1:26" x14ac:dyDescent="0.25">
      <c r="A536" s="25">
        <v>3144</v>
      </c>
      <c r="B536" s="25" t="s">
        <v>569</v>
      </c>
      <c r="C536" s="26">
        <v>18472</v>
      </c>
      <c r="D536" s="27">
        <v>199989686.22999999</v>
      </c>
      <c r="E536" s="27">
        <v>148299461.88</v>
      </c>
      <c r="F536" s="27">
        <v>51690224.350000001</v>
      </c>
      <c r="G536" s="27">
        <f>VLOOKUP(A536,'[1]saldos al 26May26'!$C$2:$I$1010,7,FALSE)</f>
        <v>-19826119.329999998</v>
      </c>
      <c r="H536" s="27"/>
      <c r="I536" s="28"/>
      <c r="J536" s="29"/>
      <c r="K536" s="25" t="s">
        <v>29</v>
      </c>
      <c r="L536" s="25" t="s">
        <v>30</v>
      </c>
      <c r="M536" s="25" t="s">
        <v>55</v>
      </c>
      <c r="N536" s="25"/>
      <c r="O536" t="s">
        <v>32</v>
      </c>
      <c r="P536" s="30">
        <v>480826.58</v>
      </c>
      <c r="Q536" s="30">
        <v>658454.73</v>
      </c>
      <c r="R536" s="30"/>
      <c r="S536" s="30" t="s">
        <v>33</v>
      </c>
      <c r="T536" t="s">
        <v>33</v>
      </c>
      <c r="U536" s="31" t="e">
        <v>#N/A</v>
      </c>
      <c r="V536" t="s">
        <v>34</v>
      </c>
      <c r="Y536" t="e">
        <f>VLOOKUP(A536,[2]!PRGX[[#All],[Proveedor]],1,FALSE)</f>
        <v>#REF!</v>
      </c>
    </row>
    <row r="537" spans="1:26" x14ac:dyDescent="0.25">
      <c r="A537" s="25">
        <v>303284</v>
      </c>
      <c r="B537" s="25" t="s">
        <v>570</v>
      </c>
      <c r="C537" s="26">
        <v>15403</v>
      </c>
      <c r="D537" s="27">
        <v>199296589.34999999</v>
      </c>
      <c r="E537" s="27">
        <v>192555326.32999998</v>
      </c>
      <c r="F537" s="27">
        <v>6741263.0199999996</v>
      </c>
      <c r="G537" s="27">
        <f>VLOOKUP(A537,'[1]saldos al 26May26'!$C$2:$I$1010,7,FALSE)</f>
        <v>-11220.13</v>
      </c>
      <c r="H537" s="27"/>
      <c r="I537" s="28"/>
      <c r="J537" s="29"/>
      <c r="K537" s="25" t="s">
        <v>29</v>
      </c>
      <c r="L537" s="25" t="s">
        <v>30</v>
      </c>
      <c r="M537" s="25" t="s">
        <v>59</v>
      </c>
      <c r="N537" s="25"/>
      <c r="O537" t="s">
        <v>80</v>
      </c>
      <c r="P537" s="30">
        <v>1146020.49</v>
      </c>
      <c r="Q537" s="30">
        <v>1368447.94</v>
      </c>
      <c r="R537" s="30"/>
      <c r="S537" s="30" t="s">
        <v>63</v>
      </c>
      <c r="T537" t="s">
        <v>33</v>
      </c>
      <c r="U537" s="31" t="s">
        <v>33</v>
      </c>
      <c r="V537" t="s">
        <v>33</v>
      </c>
      <c r="Y537" t="e">
        <f>VLOOKUP(A537,[2]!PRGX[[#All],[Proveedor]],1,FALSE)</f>
        <v>#REF!</v>
      </c>
    </row>
    <row r="538" spans="1:26" x14ac:dyDescent="0.25">
      <c r="A538" s="25">
        <v>322784</v>
      </c>
      <c r="B538" s="25" t="s">
        <v>571</v>
      </c>
      <c r="C538" s="26">
        <v>3328</v>
      </c>
      <c r="D538" s="27">
        <v>198174951.34999999</v>
      </c>
      <c r="E538" s="27">
        <v>194830908.51999998</v>
      </c>
      <c r="F538" s="27">
        <v>3344042.83</v>
      </c>
      <c r="G538" s="27">
        <f>VLOOKUP(A538,'[1]saldos al 26May26'!$C$2:$I$1010,7,FALSE)</f>
        <v>-38070</v>
      </c>
      <c r="H538" s="27"/>
      <c r="I538" s="28"/>
      <c r="J538" s="29">
        <v>186223.15171526402</v>
      </c>
      <c r="K538" s="25" t="s">
        <v>40</v>
      </c>
      <c r="L538" s="25" t="s">
        <v>30</v>
      </c>
      <c r="M538" s="25" t="s">
        <v>31</v>
      </c>
      <c r="N538" s="25" t="s">
        <v>45</v>
      </c>
      <c r="O538" t="s">
        <v>45</v>
      </c>
      <c r="P538" s="32">
        <v>-651908.71</v>
      </c>
      <c r="Q538" s="30">
        <v>0</v>
      </c>
      <c r="R538" s="30">
        <v>232301.9</v>
      </c>
      <c r="S538" s="30" t="e">
        <v>#N/A</v>
      </c>
      <c r="T538" t="s">
        <v>34</v>
      </c>
      <c r="U538" s="31" t="e">
        <v>#N/A</v>
      </c>
      <c r="V538" t="s">
        <v>34</v>
      </c>
      <c r="Y538" t="e">
        <f>VLOOKUP(A538,[2]!PRGX[[#All],[Proveedor]],1,FALSE)</f>
        <v>#REF!</v>
      </c>
    </row>
    <row r="539" spans="1:26" x14ac:dyDescent="0.25">
      <c r="A539" s="25">
        <v>78535</v>
      </c>
      <c r="B539" s="25" t="s">
        <v>572</v>
      </c>
      <c r="C539" s="26">
        <v>106372</v>
      </c>
      <c r="D539" s="27">
        <v>197299952.77720001</v>
      </c>
      <c r="E539" s="27">
        <v>137537958.1778</v>
      </c>
      <c r="F539" s="27">
        <v>59761994.599399999</v>
      </c>
      <c r="G539" s="27">
        <f>VLOOKUP(A539,'[1]saldos al 26May26'!$C$2:$I$1010,7,FALSE)</f>
        <v>-3995482.14</v>
      </c>
      <c r="H539" s="27"/>
      <c r="I539" s="28" t="s">
        <v>27</v>
      </c>
      <c r="J539" s="29"/>
      <c r="K539" s="25" t="s">
        <v>29</v>
      </c>
      <c r="L539" s="25" t="s">
        <v>30</v>
      </c>
      <c r="M539" s="25" t="s">
        <v>55</v>
      </c>
      <c r="N539" s="25"/>
      <c r="O539" t="s">
        <v>87</v>
      </c>
      <c r="P539" s="32">
        <v>-6788563.0700000003</v>
      </c>
      <c r="Q539" s="30">
        <v>-900835.62</v>
      </c>
      <c r="R539" s="30"/>
      <c r="S539" s="30" t="s">
        <v>33</v>
      </c>
      <c r="T539" t="s">
        <v>33</v>
      </c>
      <c r="U539" s="31" t="e">
        <v>#N/A</v>
      </c>
      <c r="V539" t="s">
        <v>34</v>
      </c>
      <c r="Y539" t="e">
        <f>VLOOKUP(A539,[2]!PRGX[[#All],[Proveedor]],1,FALSE)</f>
        <v>#REF!</v>
      </c>
      <c r="Z539">
        <v>78535</v>
      </c>
    </row>
    <row r="540" spans="1:26" x14ac:dyDescent="0.25">
      <c r="A540" s="25">
        <v>341</v>
      </c>
      <c r="B540" s="25" t="s">
        <v>573</v>
      </c>
      <c r="C540" s="26">
        <v>8200</v>
      </c>
      <c r="D540" s="27">
        <v>197203481.16909999</v>
      </c>
      <c r="E540" s="27">
        <v>190782870.8116</v>
      </c>
      <c r="F540" s="27">
        <v>6420610.3574999999</v>
      </c>
      <c r="G540" s="27">
        <f>VLOOKUP(A540,'[1]saldos al 26May26'!$C$2:$I$1010,7,FALSE)</f>
        <v>-2549980.84</v>
      </c>
      <c r="H540" s="27"/>
      <c r="I540" s="28"/>
      <c r="J540" s="29"/>
      <c r="K540" s="25" t="s">
        <v>29</v>
      </c>
      <c r="L540" s="25" t="s">
        <v>30</v>
      </c>
      <c r="M540" s="25" t="s">
        <v>59</v>
      </c>
      <c r="N540" s="25"/>
      <c r="O540" s="43" t="s">
        <v>41</v>
      </c>
      <c r="P540" s="30">
        <v>181772.58999999997</v>
      </c>
      <c r="Q540" s="30">
        <v>0</v>
      </c>
      <c r="R540" s="30"/>
      <c r="S540" s="30">
        <v>0</v>
      </c>
      <c r="T540" t="s">
        <v>33</v>
      </c>
      <c r="U540" s="31" t="e">
        <v>#N/A</v>
      </c>
      <c r="V540" t="s">
        <v>34</v>
      </c>
      <c r="Y540" t="e">
        <f>VLOOKUP(A540,[2]!PRGX[[#All],[Proveedor]],1,FALSE)</f>
        <v>#REF!</v>
      </c>
    </row>
    <row r="541" spans="1:26" x14ac:dyDescent="0.25">
      <c r="A541" s="25">
        <v>226969</v>
      </c>
      <c r="B541" s="25" t="s">
        <v>574</v>
      </c>
      <c r="C541" s="26">
        <v>126083</v>
      </c>
      <c r="D541" s="27">
        <v>196498098.20339999</v>
      </c>
      <c r="E541" s="27">
        <v>161535490.55339998</v>
      </c>
      <c r="F541" s="27">
        <v>34962607.649999999</v>
      </c>
      <c r="G541" s="27">
        <f>VLOOKUP(A541,'[1]saldos al 26May26'!$C$2:$I$1010,7,FALSE)</f>
        <v>-2444129.66</v>
      </c>
      <c r="H541" s="27"/>
      <c r="I541" s="28"/>
      <c r="J541" s="29">
        <v>94110.807742499994</v>
      </c>
      <c r="K541" s="25" t="s">
        <v>40</v>
      </c>
      <c r="L541" s="25" t="s">
        <v>30</v>
      </c>
      <c r="M541" s="25" t="s">
        <v>50</v>
      </c>
      <c r="N541" s="25" t="s">
        <v>36</v>
      </c>
      <c r="O541" t="s">
        <v>36</v>
      </c>
      <c r="P541" s="32">
        <v>-3981577.02</v>
      </c>
      <c r="Q541" s="30">
        <v>16508.2</v>
      </c>
      <c r="R541" s="30"/>
      <c r="S541" s="30">
        <v>0</v>
      </c>
      <c r="T541" t="s">
        <v>42</v>
      </c>
      <c r="U541" s="31" t="e">
        <v>#N/A</v>
      </c>
      <c r="V541" t="s">
        <v>34</v>
      </c>
      <c r="Y541" t="e">
        <f>VLOOKUP(A541,[2]!PRGX[[#All],[Proveedor]],1,FALSE)</f>
        <v>#REF!</v>
      </c>
    </row>
    <row r="542" spans="1:26" x14ac:dyDescent="0.25">
      <c r="A542" s="25">
        <v>315838</v>
      </c>
      <c r="B542" s="25" t="s">
        <v>575</v>
      </c>
      <c r="C542" s="26">
        <v>16380</v>
      </c>
      <c r="D542" s="27">
        <v>196070889.71000001</v>
      </c>
      <c r="E542" s="27">
        <v>146830041.56999999</v>
      </c>
      <c r="F542" s="27">
        <v>49240848.140000001</v>
      </c>
      <c r="G542" s="27">
        <f>VLOOKUP(A542,'[1]saldos al 26May26'!$C$2:$I$1010,7,FALSE)</f>
        <v>-2726067.31</v>
      </c>
      <c r="H542" s="27"/>
      <c r="I542" s="28"/>
      <c r="J542" s="29">
        <v>823139.1228436284</v>
      </c>
      <c r="K542" s="25" t="s">
        <v>40</v>
      </c>
      <c r="L542" s="25" t="s">
        <v>30</v>
      </c>
      <c r="M542" s="25" t="s">
        <v>50</v>
      </c>
      <c r="N542" s="25" t="s">
        <v>87</v>
      </c>
      <c r="O542" t="s">
        <v>87</v>
      </c>
      <c r="P542" s="30">
        <v>537823.54</v>
      </c>
      <c r="Q542" s="30">
        <v>1257864.73</v>
      </c>
      <c r="R542" s="30">
        <v>116732</v>
      </c>
      <c r="S542" s="30" t="s">
        <v>63</v>
      </c>
      <c r="T542" t="s">
        <v>33</v>
      </c>
      <c r="U542" s="31" t="s">
        <v>33</v>
      </c>
      <c r="V542" t="s">
        <v>33</v>
      </c>
      <c r="Y542" t="e">
        <f>VLOOKUP(A542,[2]!PRGX[[#All],[Proveedor]],1,FALSE)</f>
        <v>#REF!</v>
      </c>
    </row>
    <row r="543" spans="1:26" x14ac:dyDescent="0.25">
      <c r="A543" s="25">
        <v>77008</v>
      </c>
      <c r="B543" s="25" t="s">
        <v>576</v>
      </c>
      <c r="C543" s="26">
        <v>48919</v>
      </c>
      <c r="D543" s="27">
        <v>195561781.75099999</v>
      </c>
      <c r="E543" s="27">
        <v>99094263.643999994</v>
      </c>
      <c r="F543" s="27">
        <v>96467518.106999993</v>
      </c>
      <c r="G543" s="27">
        <f>VLOOKUP(A543,'[1]saldos al 26May26'!$C$2:$I$1010,7,FALSE)</f>
        <v>-13260971.630000001</v>
      </c>
      <c r="H543" s="27"/>
      <c r="I543" s="28"/>
      <c r="J543" s="29"/>
      <c r="K543" s="25" t="s">
        <v>29</v>
      </c>
      <c r="L543" s="25" t="s">
        <v>30</v>
      </c>
      <c r="M543" s="25" t="s">
        <v>50</v>
      </c>
      <c r="N543" s="25"/>
      <c r="O543" t="s">
        <v>36</v>
      </c>
      <c r="P543" s="32">
        <v>-6690380.2800000003</v>
      </c>
      <c r="Q543" s="30">
        <v>15346.3</v>
      </c>
      <c r="R543" s="30"/>
      <c r="S543" s="30" t="s">
        <v>33</v>
      </c>
      <c r="T543" t="s">
        <v>33</v>
      </c>
      <c r="U543" s="31" t="e">
        <v>#N/A</v>
      </c>
      <c r="V543" t="s">
        <v>34</v>
      </c>
      <c r="Y543" t="e">
        <f>VLOOKUP(A543,[2]!PRGX[[#All],[Proveedor]],1,FALSE)</f>
        <v>#REF!</v>
      </c>
    </row>
    <row r="544" spans="1:26" x14ac:dyDescent="0.25">
      <c r="A544" s="25">
        <v>32169</v>
      </c>
      <c r="B544" s="25" t="s">
        <v>577</v>
      </c>
      <c r="C544" s="26">
        <v>1413</v>
      </c>
      <c r="D544" s="27">
        <v>194826804.40000001</v>
      </c>
      <c r="E544" s="27">
        <v>164174140</v>
      </c>
      <c r="F544" s="27">
        <v>30652664.399999999</v>
      </c>
      <c r="G544" s="27">
        <f>VLOOKUP(A544,'[1]saldos al 26May26'!$C$2:$I$1010,7,FALSE)</f>
        <v>-6411612.3300000001</v>
      </c>
      <c r="H544" s="27"/>
      <c r="I544" s="28"/>
      <c r="J544" s="29">
        <v>191640.36903454602</v>
      </c>
      <c r="K544" s="25" t="s">
        <v>40</v>
      </c>
      <c r="L544" s="25" t="s">
        <v>30</v>
      </c>
      <c r="M544" s="25" t="s">
        <v>50</v>
      </c>
      <c r="N544" s="25" t="s">
        <v>87</v>
      </c>
      <c r="O544" t="s">
        <v>87</v>
      </c>
      <c r="P544" s="32">
        <v>-30895807.5</v>
      </c>
      <c r="Q544" s="30">
        <v>0</v>
      </c>
      <c r="R544" s="30"/>
      <c r="S544" s="30" t="e">
        <v>#N/A</v>
      </c>
      <c r="T544" t="s">
        <v>34</v>
      </c>
      <c r="U544" s="31" t="e">
        <v>#N/A</v>
      </c>
      <c r="V544" t="s">
        <v>34</v>
      </c>
      <c r="Y544" t="e">
        <f>VLOOKUP(A544,[2]!PRGX[[#All],[Proveedor]],1,FALSE)</f>
        <v>#REF!</v>
      </c>
    </row>
    <row r="545" spans="1:26" x14ac:dyDescent="0.25">
      <c r="A545" s="25">
        <v>22457</v>
      </c>
      <c r="B545" s="25" t="s">
        <v>578</v>
      </c>
      <c r="C545" s="26">
        <v>19351</v>
      </c>
      <c r="D545" s="27">
        <v>193181608.97999999</v>
      </c>
      <c r="E545" s="27">
        <v>157725098.33999997</v>
      </c>
      <c r="F545" s="27">
        <v>35456510.640000001</v>
      </c>
      <c r="G545" s="27">
        <f>VLOOKUP(A545,'[1]saldos al 26May26'!$C$2:$I$1010,7,FALSE)</f>
        <v>-10332545.02</v>
      </c>
      <c r="H545" s="27"/>
      <c r="I545" s="28"/>
      <c r="J545" s="29"/>
      <c r="K545" s="25" t="s">
        <v>29</v>
      </c>
      <c r="L545" s="25" t="s">
        <v>30</v>
      </c>
      <c r="M545" s="25" t="s">
        <v>55</v>
      </c>
      <c r="N545" s="25"/>
      <c r="O545" t="s">
        <v>51</v>
      </c>
      <c r="P545" s="30">
        <v>9586052.459999999</v>
      </c>
      <c r="Q545" s="30">
        <v>0</v>
      </c>
      <c r="R545" s="30"/>
      <c r="S545" s="30" t="s">
        <v>33</v>
      </c>
      <c r="T545" t="s">
        <v>33</v>
      </c>
      <c r="U545" s="31" t="e">
        <v>#N/A</v>
      </c>
      <c r="V545" t="s">
        <v>34</v>
      </c>
      <c r="Y545" t="e">
        <f>VLOOKUP(A545,[2]!PRGX[[#All],[Proveedor]],1,FALSE)</f>
        <v>#REF!</v>
      </c>
    </row>
    <row r="546" spans="1:26" x14ac:dyDescent="0.25">
      <c r="A546" s="25">
        <v>92692</v>
      </c>
      <c r="B546" s="25" t="s">
        <v>579</v>
      </c>
      <c r="C546" s="26">
        <v>2873</v>
      </c>
      <c r="D546" s="27">
        <v>192520234.75999999</v>
      </c>
      <c r="E546" s="27">
        <v>155573995.97999999</v>
      </c>
      <c r="F546" s="27">
        <v>36946238.780000001</v>
      </c>
      <c r="G546" s="27">
        <f>VLOOKUP(A546,'[1]saldos al 26May26'!$C$2:$I$1010,7,FALSE)</f>
        <v>-5959690.0700000003</v>
      </c>
      <c r="H546" s="27"/>
      <c r="I546" s="28"/>
      <c r="J546" s="29"/>
      <c r="K546" s="25" t="s">
        <v>29</v>
      </c>
      <c r="L546" s="25" t="s">
        <v>30</v>
      </c>
      <c r="M546" s="25" t="s">
        <v>55</v>
      </c>
      <c r="N546" s="25"/>
      <c r="O546" t="s">
        <v>36</v>
      </c>
      <c r="P546" s="32">
        <v>-3539.1700000000055</v>
      </c>
      <c r="Q546" s="30">
        <v>0</v>
      </c>
      <c r="R546" s="30"/>
      <c r="S546" s="30" t="s">
        <v>63</v>
      </c>
      <c r="T546" t="s">
        <v>33</v>
      </c>
      <c r="U546" s="31" t="e">
        <v>#N/A</v>
      </c>
      <c r="V546" t="s">
        <v>34</v>
      </c>
      <c r="Y546" t="e">
        <f>VLOOKUP(A546,[2]!PRGX[[#All],[Proveedor]],1,FALSE)</f>
        <v>#REF!</v>
      </c>
    </row>
    <row r="547" spans="1:26" x14ac:dyDescent="0.25">
      <c r="A547" s="25">
        <v>307900</v>
      </c>
      <c r="B547" s="25" t="s">
        <v>580</v>
      </c>
      <c r="C547" s="26">
        <v>18116</v>
      </c>
      <c r="D547" s="27">
        <v>192435112.88999999</v>
      </c>
      <c r="E547" s="27">
        <v>168403268.22999999</v>
      </c>
      <c r="F547" s="27">
        <v>24031844.66</v>
      </c>
      <c r="G547" s="27">
        <f>VLOOKUP(A547,'[1]saldos al 26May26'!$C$2:$I$1010,7,FALSE)</f>
        <v>-1499557.32</v>
      </c>
      <c r="H547" s="27"/>
      <c r="I547" s="28"/>
      <c r="J547" s="29"/>
      <c r="K547" s="25" t="s">
        <v>29</v>
      </c>
      <c r="L547" s="25" t="s">
        <v>30</v>
      </c>
      <c r="M547" s="25" t="s">
        <v>50</v>
      </c>
      <c r="N547" s="25"/>
      <c r="O547" t="s">
        <v>67</v>
      </c>
      <c r="P547" s="32">
        <v>-20634.240000000002</v>
      </c>
      <c r="Q547" s="30">
        <v>1082971.48</v>
      </c>
      <c r="R547" s="30"/>
      <c r="S547" s="30" t="s">
        <v>63</v>
      </c>
      <c r="T547" t="s">
        <v>33</v>
      </c>
      <c r="U547" s="31">
        <v>0</v>
      </c>
      <c r="V547" t="s">
        <v>42</v>
      </c>
      <c r="Y547" t="e">
        <f>VLOOKUP(A547,[2]!PRGX[[#All],[Proveedor]],1,FALSE)</f>
        <v>#REF!</v>
      </c>
    </row>
    <row r="548" spans="1:26" x14ac:dyDescent="0.25">
      <c r="A548" s="25">
        <v>22682</v>
      </c>
      <c r="B548" s="25" t="s">
        <v>581</v>
      </c>
      <c r="C548" s="26">
        <v>22654</v>
      </c>
      <c r="D548" s="27">
        <v>191244290.2902</v>
      </c>
      <c r="E548" s="27">
        <v>96345774.717399999</v>
      </c>
      <c r="F548" s="27">
        <v>94898515.572799996</v>
      </c>
      <c r="G548" s="27">
        <f>VLOOKUP(A548,'[1]saldos al 26May26'!$C$2:$I$1010,7,FALSE)</f>
        <v>-9270718.6500000004</v>
      </c>
      <c r="H548" s="27"/>
      <c r="I548" s="28"/>
      <c r="J548" s="29"/>
      <c r="K548" s="25" t="s">
        <v>40</v>
      </c>
      <c r="L548" s="25" t="s">
        <v>30</v>
      </c>
      <c r="M548" s="25" t="s">
        <v>55</v>
      </c>
      <c r="N548" s="25" t="s">
        <v>87</v>
      </c>
      <c r="O548" t="s">
        <v>87</v>
      </c>
      <c r="P548" s="32">
        <v>-97716.74</v>
      </c>
      <c r="Q548" s="30">
        <v>0</v>
      </c>
      <c r="R548" s="30">
        <v>80000</v>
      </c>
      <c r="S548" s="30" t="s">
        <v>33</v>
      </c>
      <c r="T548" t="s">
        <v>33</v>
      </c>
      <c r="U548" s="31" t="e">
        <v>#N/A</v>
      </c>
      <c r="V548" t="s">
        <v>34</v>
      </c>
      <c r="Y548" t="e">
        <f>VLOOKUP(A548,[2]!PRGX[[#All],[Proveedor]],1,FALSE)</f>
        <v>#REF!</v>
      </c>
    </row>
    <row r="549" spans="1:26" x14ac:dyDescent="0.25">
      <c r="A549" s="25">
        <v>21448</v>
      </c>
      <c r="B549" s="25" t="s">
        <v>582</v>
      </c>
      <c r="C549" s="26">
        <v>806</v>
      </c>
      <c r="D549" s="27">
        <v>190958871.13</v>
      </c>
      <c r="E549" s="27">
        <v>175305822.88</v>
      </c>
      <c r="F549" s="27">
        <v>15653048.25</v>
      </c>
      <c r="G549" s="27">
        <f>VLOOKUP(A549,'[1]saldos al 26May26'!$C$2:$I$1010,7,FALSE)</f>
        <v>347.2</v>
      </c>
      <c r="H549" s="39" t="s">
        <v>54</v>
      </c>
      <c r="I549" s="28"/>
      <c r="J549" s="29">
        <v>291705.40000000002</v>
      </c>
      <c r="K549" s="25" t="s">
        <v>40</v>
      </c>
      <c r="L549" s="25" t="s">
        <v>30</v>
      </c>
      <c r="M549" s="36" t="s">
        <v>55</v>
      </c>
      <c r="N549" s="25" t="s">
        <v>70</v>
      </c>
      <c r="O549" t="s">
        <v>70</v>
      </c>
      <c r="P549" s="30">
        <v>378080.78</v>
      </c>
      <c r="Q549" s="30">
        <v>2550166.98</v>
      </c>
      <c r="R549" s="30"/>
      <c r="S549" s="30" t="e">
        <v>#N/A</v>
      </c>
      <c r="T549" t="s">
        <v>34</v>
      </c>
      <c r="U549" s="31" t="e">
        <v>#N/A</v>
      </c>
      <c r="V549" t="s">
        <v>34</v>
      </c>
      <c r="Y549" t="e">
        <f>VLOOKUP(A549,[2]!PRGX[[#All],[Proveedor]],1,FALSE)</f>
        <v>#REF!</v>
      </c>
    </row>
    <row r="550" spans="1:26" x14ac:dyDescent="0.25">
      <c r="A550" s="25">
        <v>318204</v>
      </c>
      <c r="B550" s="25" t="s">
        <v>583</v>
      </c>
      <c r="C550" s="26">
        <v>1293</v>
      </c>
      <c r="D550" s="27">
        <v>189905401.134</v>
      </c>
      <c r="E550" s="27">
        <v>143587082.09</v>
      </c>
      <c r="F550" s="27">
        <v>46318319.044</v>
      </c>
      <c r="G550" s="27">
        <f>VLOOKUP(A550,'[1]saldos al 26May26'!$C$2:$I$1010,7,FALSE)</f>
        <v>-6992608.75</v>
      </c>
      <c r="H550" s="27"/>
      <c r="I550" s="28"/>
      <c r="J550" s="29"/>
      <c r="K550" s="25" t="s">
        <v>40</v>
      </c>
      <c r="L550" s="25" t="s">
        <v>30</v>
      </c>
      <c r="M550" s="25" t="s">
        <v>55</v>
      </c>
      <c r="N550" s="25" t="s">
        <v>45</v>
      </c>
      <c r="O550" t="s">
        <v>45</v>
      </c>
      <c r="P550" s="30">
        <v>33189.200000000004</v>
      </c>
      <c r="Q550" s="30">
        <v>63000</v>
      </c>
      <c r="R550" s="30"/>
      <c r="S550" s="30" t="e">
        <v>#N/A</v>
      </c>
      <c r="T550" t="s">
        <v>34</v>
      </c>
      <c r="U550" s="31" t="e">
        <v>#N/A</v>
      </c>
      <c r="V550" t="s">
        <v>34</v>
      </c>
      <c r="Y550" t="e">
        <f>VLOOKUP(A550,[2]!PRGX[[#All],[Proveedor]],1,FALSE)</f>
        <v>#REF!</v>
      </c>
    </row>
    <row r="551" spans="1:26" x14ac:dyDescent="0.25">
      <c r="A551" s="25">
        <v>21123</v>
      </c>
      <c r="B551" s="25" t="s">
        <v>584</v>
      </c>
      <c r="C551" s="26">
        <v>1270</v>
      </c>
      <c r="D551" s="27">
        <v>188648108.06999999</v>
      </c>
      <c r="E551" s="27">
        <v>132475711</v>
      </c>
      <c r="F551" s="27">
        <v>56172397.07</v>
      </c>
      <c r="G551" s="27">
        <f>VLOOKUP(A551,'[1]saldos al 26May26'!$C$2:$I$1010,7,FALSE)</f>
        <v>-20091973.640000001</v>
      </c>
      <c r="H551" s="27"/>
      <c r="I551" s="28"/>
      <c r="J551" s="29"/>
      <c r="K551" s="25" t="s">
        <v>40</v>
      </c>
      <c r="L551" s="25" t="s">
        <v>30</v>
      </c>
      <c r="M551" s="25" t="s">
        <v>55</v>
      </c>
      <c r="N551" s="25" t="s">
        <v>67</v>
      </c>
      <c r="O551" t="s">
        <v>67</v>
      </c>
      <c r="P551" s="32">
        <v>-58709.919999999998</v>
      </c>
      <c r="Q551" s="30">
        <v>0</v>
      </c>
      <c r="R551" s="30"/>
      <c r="S551" s="30" t="e">
        <v>#N/A</v>
      </c>
      <c r="T551" t="s">
        <v>34</v>
      </c>
      <c r="U551" s="31" t="e">
        <v>#N/A</v>
      </c>
      <c r="V551" t="s">
        <v>34</v>
      </c>
      <c r="Y551" t="e">
        <f>VLOOKUP(A551,[2]!PRGX[[#All],[Proveedor]],1,FALSE)</f>
        <v>#REF!</v>
      </c>
    </row>
    <row r="552" spans="1:26" x14ac:dyDescent="0.25">
      <c r="A552" s="25">
        <v>24706</v>
      </c>
      <c r="B552" s="25" t="s">
        <v>585</v>
      </c>
      <c r="C552" s="26">
        <v>51009</v>
      </c>
      <c r="D552" s="27">
        <v>188405391.88499999</v>
      </c>
      <c r="E552" s="27">
        <v>104388759.33499999</v>
      </c>
      <c r="F552" s="27">
        <v>84016632.549999997</v>
      </c>
      <c r="G552" s="27">
        <f>VLOOKUP(A552,'[1]saldos al 26May26'!$C$2:$I$1010,7,FALSE)</f>
        <v>-11436001</v>
      </c>
      <c r="H552" s="27"/>
      <c r="I552" s="28"/>
      <c r="J552" s="29"/>
      <c r="K552" s="25" t="s">
        <v>40</v>
      </c>
      <c r="L552" s="25" t="s">
        <v>30</v>
      </c>
      <c r="M552" s="25" t="s">
        <v>55</v>
      </c>
      <c r="N552" s="25" t="s">
        <v>38</v>
      </c>
      <c r="O552" t="s">
        <v>38</v>
      </c>
      <c r="P552" s="30">
        <v>22038877.060000002</v>
      </c>
      <c r="Q552" s="30">
        <v>0</v>
      </c>
      <c r="R552" s="30"/>
      <c r="S552" s="30" t="s">
        <v>63</v>
      </c>
      <c r="T552" s="57" t="s">
        <v>33</v>
      </c>
      <c r="U552" s="31" t="s">
        <v>33</v>
      </c>
      <c r="V552" t="s">
        <v>33</v>
      </c>
      <c r="Y552" t="e">
        <f>VLOOKUP(A552,[2]!PRGX[[#All],[Proveedor]],1,FALSE)</f>
        <v>#REF!</v>
      </c>
    </row>
    <row r="553" spans="1:26" x14ac:dyDescent="0.25">
      <c r="A553" s="25">
        <v>94664</v>
      </c>
      <c r="B553" s="25" t="s">
        <v>586</v>
      </c>
      <c r="C553" s="26">
        <v>23442355</v>
      </c>
      <c r="D553" s="27">
        <v>16710721374.6786</v>
      </c>
      <c r="E553" s="27">
        <v>13867581690.6007</v>
      </c>
      <c r="F553" s="27">
        <v>2843139684.0778999</v>
      </c>
      <c r="G553" s="27">
        <f>VLOOKUP(A553,'[1]saldos al 26May26'!$C$2:$I$1010,7,FALSE)</f>
        <v>-248670837.75999999</v>
      </c>
      <c r="H553" s="27"/>
      <c r="I553" s="28" t="s">
        <v>27</v>
      </c>
      <c r="J553" s="29"/>
      <c r="K553" s="25" t="s">
        <v>40</v>
      </c>
      <c r="L553" s="25" t="s">
        <v>30</v>
      </c>
      <c r="M553" s="25" t="s">
        <v>50</v>
      </c>
      <c r="N553" s="25" t="s">
        <v>56</v>
      </c>
      <c r="O553" t="s">
        <v>56</v>
      </c>
      <c r="P553" s="30">
        <v>3794857295.2099996</v>
      </c>
      <c r="Q553" s="30">
        <v>-305550613.02999997</v>
      </c>
      <c r="R553" s="30">
        <v>4354682.79</v>
      </c>
      <c r="S553" s="30" t="s">
        <v>33</v>
      </c>
      <c r="T553" t="s">
        <v>33</v>
      </c>
      <c r="U553" s="31" t="e">
        <v>#N/A</v>
      </c>
      <c r="V553" t="s">
        <v>34</v>
      </c>
      <c r="Y553" t="e">
        <f>VLOOKUP(A553,[2]!PRGX[[#All],[Proveedor]],1,FALSE)</f>
        <v>#REF!</v>
      </c>
      <c r="Z553">
        <v>94664</v>
      </c>
    </row>
    <row r="554" spans="1:26" s="42" customFormat="1" x14ac:dyDescent="0.25">
      <c r="A554" s="25">
        <v>61846</v>
      </c>
      <c r="B554" s="25" t="s">
        <v>587</v>
      </c>
      <c r="C554" s="26">
        <v>57600</v>
      </c>
      <c r="D554" s="27">
        <v>186751599.50310001</v>
      </c>
      <c r="E554" s="27">
        <v>160849185.9531</v>
      </c>
      <c r="F554" s="27">
        <v>25902413.550000001</v>
      </c>
      <c r="G554" s="27">
        <f>VLOOKUP(A554,'[1]saldos al 26May26'!$C$2:$I$1010,7,FALSE)</f>
        <v>-819162.63</v>
      </c>
      <c r="H554" s="27"/>
      <c r="I554" s="28"/>
      <c r="J554" s="29"/>
      <c r="K554" s="25" t="s">
        <v>29</v>
      </c>
      <c r="L554" s="25" t="s">
        <v>30</v>
      </c>
      <c r="M554" s="25" t="s">
        <v>31</v>
      </c>
      <c r="N554" s="25"/>
      <c r="O554" t="s">
        <v>45</v>
      </c>
      <c r="P554" s="32">
        <v>-1275740.57</v>
      </c>
      <c r="Q554" s="30">
        <v>0</v>
      </c>
      <c r="R554" s="30">
        <v>316256.24</v>
      </c>
      <c r="S554" s="30" t="s">
        <v>63</v>
      </c>
      <c r="T554" t="s">
        <v>33</v>
      </c>
      <c r="U554" s="31" t="e">
        <v>#N/A</v>
      </c>
      <c r="V554" t="s">
        <v>34</v>
      </c>
      <c r="W554"/>
      <c r="Y554" t="e">
        <f>VLOOKUP(A554,[2]!PRGX[[#All],[Proveedor]],1,FALSE)</f>
        <v>#REF!</v>
      </c>
      <c r="Z554"/>
    </row>
    <row r="555" spans="1:26" x14ac:dyDescent="0.25">
      <c r="A555" s="25">
        <v>316893</v>
      </c>
      <c r="B555" s="25" t="s">
        <v>588</v>
      </c>
      <c r="C555" s="26">
        <v>47966</v>
      </c>
      <c r="D555" s="27">
        <v>185497820.18000001</v>
      </c>
      <c r="E555" s="27">
        <v>143399238.30000001</v>
      </c>
      <c r="F555" s="27">
        <v>42098581.880000003</v>
      </c>
      <c r="G555" s="27">
        <f>VLOOKUP(A555,'[1]saldos al 26May26'!$C$2:$I$1010,7,FALSE)</f>
        <v>-3153411.1</v>
      </c>
      <c r="H555" s="27"/>
      <c r="I555" s="28"/>
      <c r="J555" s="29">
        <v>674623.03581363906</v>
      </c>
      <c r="K555" s="25" t="s">
        <v>40</v>
      </c>
      <c r="L555" s="25" t="s">
        <v>30</v>
      </c>
      <c r="M555" s="25" t="s">
        <v>59</v>
      </c>
      <c r="N555" s="25" t="s">
        <v>41</v>
      </c>
      <c r="O555" t="s">
        <v>41</v>
      </c>
      <c r="P555" s="32">
        <v>-971162.71</v>
      </c>
      <c r="Q555" s="30">
        <v>-2284.23</v>
      </c>
      <c r="R555" s="30">
        <v>600000</v>
      </c>
      <c r="S555" s="30" t="s">
        <v>63</v>
      </c>
      <c r="T555" t="s">
        <v>33</v>
      </c>
      <c r="U555" s="31" t="s">
        <v>33</v>
      </c>
      <c r="V555" t="s">
        <v>33</v>
      </c>
      <c r="Y555" t="e">
        <f>VLOOKUP(A555,[2]!PRGX[[#All],[Proveedor]],1,FALSE)</f>
        <v>#REF!</v>
      </c>
    </row>
    <row r="556" spans="1:26" x14ac:dyDescent="0.25">
      <c r="A556" s="25">
        <v>83584</v>
      </c>
      <c r="B556" s="25" t="s">
        <v>589</v>
      </c>
      <c r="C556" s="26">
        <v>8128</v>
      </c>
      <c r="D556" s="27">
        <v>185187934.96700001</v>
      </c>
      <c r="E556" s="27">
        <v>158010404.29699999</v>
      </c>
      <c r="F556" s="27">
        <v>27177530.670000002</v>
      </c>
      <c r="G556" s="27">
        <f>VLOOKUP(A556,'[1]saldos al 26May26'!$C$2:$I$1010,7,FALSE)</f>
        <v>-2175529.4700000002</v>
      </c>
      <c r="H556" s="27"/>
      <c r="I556" s="28"/>
      <c r="J556" s="29"/>
      <c r="K556" s="25" t="s">
        <v>29</v>
      </c>
      <c r="L556" s="25" t="s">
        <v>30</v>
      </c>
      <c r="M556" s="25" t="s">
        <v>55</v>
      </c>
      <c r="N556" s="25"/>
      <c r="O556" t="s">
        <v>70</v>
      </c>
      <c r="P556" s="32">
        <v>-207127.93</v>
      </c>
      <c r="Q556" s="30">
        <v>38476</v>
      </c>
      <c r="R556" s="30">
        <v>89404.459999999992</v>
      </c>
      <c r="S556" s="30" t="s">
        <v>63</v>
      </c>
      <c r="T556" t="s">
        <v>33</v>
      </c>
      <c r="U556" s="31" t="e">
        <v>#N/A</v>
      </c>
      <c r="V556" t="s">
        <v>34</v>
      </c>
      <c r="Y556" t="e">
        <f>VLOOKUP(A556,[2]!PRGX[[#All],[Proveedor]],1,FALSE)</f>
        <v>#REF!</v>
      </c>
    </row>
    <row r="557" spans="1:26" x14ac:dyDescent="0.25">
      <c r="A557" s="25">
        <v>36202</v>
      </c>
      <c r="B557" s="25" t="s">
        <v>590</v>
      </c>
      <c r="C557" s="26">
        <v>97493</v>
      </c>
      <c r="D557" s="27">
        <v>185004172.1322</v>
      </c>
      <c r="E557" s="27">
        <v>171990103.9912</v>
      </c>
      <c r="F557" s="27">
        <v>13014068.141000001</v>
      </c>
      <c r="G557" s="27">
        <f>VLOOKUP(A557,'[1]saldos al 26May26'!$C$2:$I$1010,7,FALSE)</f>
        <v>-1241983.06</v>
      </c>
      <c r="H557" s="27"/>
      <c r="I557" s="28"/>
      <c r="J557" s="29"/>
      <c r="K557" s="25" t="s">
        <v>29</v>
      </c>
      <c r="L557" s="25" t="s">
        <v>30</v>
      </c>
      <c r="M557" s="25" t="s">
        <v>50</v>
      </c>
      <c r="N557" s="25"/>
      <c r="O557" t="s">
        <v>32</v>
      </c>
      <c r="P557" s="32">
        <v>-2330106.0499999998</v>
      </c>
      <c r="Q557" s="30">
        <v>166637.5</v>
      </c>
      <c r="R557" s="30"/>
      <c r="S557" s="30" t="s">
        <v>33</v>
      </c>
      <c r="T557" t="s">
        <v>33</v>
      </c>
      <c r="U557" s="31" t="e">
        <v>#N/A</v>
      </c>
      <c r="V557" t="s">
        <v>34</v>
      </c>
      <c r="Y557" t="e">
        <f>VLOOKUP(A557,[2]!PRGX[[#All],[Proveedor]],1,FALSE)</f>
        <v>#REF!</v>
      </c>
    </row>
    <row r="558" spans="1:26" x14ac:dyDescent="0.25">
      <c r="A558" s="52">
        <v>389783</v>
      </c>
      <c r="B558" s="52" t="s">
        <v>591</v>
      </c>
      <c r="C558" s="53">
        <v>46969</v>
      </c>
      <c r="D558" s="54">
        <v>184504011.69</v>
      </c>
      <c r="E558" s="27">
        <v>145001954.21000001</v>
      </c>
      <c r="F558" s="27">
        <v>39502057.479999997</v>
      </c>
      <c r="G558" s="54">
        <f>VLOOKUP(A558,'[1]saldos al 26May26'!$C$2:$I$1010,7,FALSE)</f>
        <v>-11173545.09</v>
      </c>
      <c r="H558" s="54"/>
      <c r="I558" s="55"/>
      <c r="J558" s="56">
        <v>857399.00542535994</v>
      </c>
      <c r="K558" s="52" t="s">
        <v>40</v>
      </c>
      <c r="L558" s="52" t="s">
        <v>30</v>
      </c>
      <c r="M558" s="52" t="s">
        <v>50</v>
      </c>
      <c r="N558" s="52" t="s">
        <v>45</v>
      </c>
      <c r="O558" s="57" t="s">
        <v>45</v>
      </c>
      <c r="P558" s="59">
        <v>-33131.85</v>
      </c>
      <c r="Q558" s="58">
        <v>249637.4</v>
      </c>
      <c r="R558" s="30">
        <v>410090.23</v>
      </c>
      <c r="S558" s="30" t="e">
        <v>#N/A</v>
      </c>
      <c r="T558" s="57" t="s">
        <v>34</v>
      </c>
      <c r="U558" s="31" t="e">
        <v>#N/A</v>
      </c>
      <c r="V558" s="57" t="s">
        <v>34</v>
      </c>
      <c r="X558" t="s">
        <v>43</v>
      </c>
      <c r="Y558" t="e">
        <f>VLOOKUP(A558,[2]!PRGX[[#All],[Proveedor]],1,FALSE)</f>
        <v>#REF!</v>
      </c>
    </row>
    <row r="559" spans="1:26" x14ac:dyDescent="0.25">
      <c r="A559" s="25">
        <v>196</v>
      </c>
      <c r="B559" s="25" t="s">
        <v>592</v>
      </c>
      <c r="C559" s="26">
        <v>12309</v>
      </c>
      <c r="D559" s="27">
        <v>184484484.41999999</v>
      </c>
      <c r="E559" s="27">
        <v>162921104.69</v>
      </c>
      <c r="F559" s="27">
        <v>21563379.73</v>
      </c>
      <c r="G559" s="27">
        <f>VLOOKUP(A559,'[1]saldos al 26May26'!$C$2:$I$1010,7,FALSE)</f>
        <v>-2702393.93</v>
      </c>
      <c r="H559" s="27"/>
      <c r="I559" s="28"/>
      <c r="J559" s="29">
        <v>440327.25490272004</v>
      </c>
      <c r="K559" s="25" t="s">
        <v>40</v>
      </c>
      <c r="L559" s="25" t="s">
        <v>30</v>
      </c>
      <c r="M559" s="25" t="s">
        <v>50</v>
      </c>
      <c r="N559" s="25" t="s">
        <v>41</v>
      </c>
      <c r="O559" s="43" t="s">
        <v>41</v>
      </c>
      <c r="P559" s="32">
        <v>-114958.79999999999</v>
      </c>
      <c r="Q559" s="30">
        <v>6260</v>
      </c>
      <c r="R559" s="30"/>
      <c r="S559" s="30" t="s">
        <v>63</v>
      </c>
      <c r="T559" s="57" t="s">
        <v>33</v>
      </c>
      <c r="U559" s="31" t="s">
        <v>33</v>
      </c>
      <c r="V559" t="s">
        <v>33</v>
      </c>
      <c r="Y559" t="e">
        <f>VLOOKUP(A559,[2]!PRGX[[#All],[Proveedor]],1,FALSE)</f>
        <v>#REF!</v>
      </c>
    </row>
    <row r="560" spans="1:26" x14ac:dyDescent="0.25">
      <c r="A560" s="25">
        <v>49601</v>
      </c>
      <c r="B560" s="25" t="s">
        <v>593</v>
      </c>
      <c r="C560" s="26">
        <v>35122</v>
      </c>
      <c r="D560" s="27">
        <v>183393212.21000001</v>
      </c>
      <c r="E560" s="27">
        <v>153062701.04000002</v>
      </c>
      <c r="F560" s="27">
        <v>30330511.170000002</v>
      </c>
      <c r="G560" s="27">
        <f>VLOOKUP(A560,'[1]saldos al 26May26'!$C$2:$I$1010,7,FALSE)</f>
        <v>-5502442.04</v>
      </c>
      <c r="H560" s="27"/>
      <c r="I560" s="28"/>
      <c r="J560" s="29">
        <v>1471305.4711988925</v>
      </c>
      <c r="K560" s="25" t="s">
        <v>29</v>
      </c>
      <c r="L560" s="25" t="s">
        <v>30</v>
      </c>
      <c r="M560" s="25" t="s">
        <v>59</v>
      </c>
      <c r="N560" s="25"/>
      <c r="O560" t="s">
        <v>36</v>
      </c>
      <c r="P560" s="30">
        <v>539367.76</v>
      </c>
      <c r="Q560" s="30">
        <v>1663520.45</v>
      </c>
      <c r="R560" s="30"/>
      <c r="S560" s="30" t="s">
        <v>63</v>
      </c>
      <c r="T560" t="s">
        <v>33</v>
      </c>
      <c r="U560" s="31">
        <v>0</v>
      </c>
      <c r="V560" t="s">
        <v>42</v>
      </c>
      <c r="Y560" t="e">
        <f>VLOOKUP(A560,[2]!PRGX[[#All],[Proveedor]],1,FALSE)</f>
        <v>#REF!</v>
      </c>
    </row>
    <row r="561" spans="1:26" x14ac:dyDescent="0.25">
      <c r="A561" s="25">
        <v>313387</v>
      </c>
      <c r="B561" s="25" t="s">
        <v>594</v>
      </c>
      <c r="C561" s="26">
        <v>3081</v>
      </c>
      <c r="D561" s="27">
        <v>183182484.48159999</v>
      </c>
      <c r="E561" s="27">
        <v>120241572.16999999</v>
      </c>
      <c r="F561" s="27">
        <v>62940912.3116</v>
      </c>
      <c r="G561" s="27">
        <f>VLOOKUP(A561,'[1]saldos al 26May26'!$C$2:$I$1010,7,FALSE)</f>
        <v>-17746069.25</v>
      </c>
      <c r="H561" s="27"/>
      <c r="I561" s="28"/>
      <c r="J561" s="29"/>
      <c r="K561" s="25" t="s">
        <v>29</v>
      </c>
      <c r="L561" s="25" t="s">
        <v>30</v>
      </c>
      <c r="M561" s="25" t="s">
        <v>50</v>
      </c>
      <c r="N561" s="25"/>
      <c r="O561" t="s">
        <v>80</v>
      </c>
      <c r="P561" s="32">
        <v>-2324209.81</v>
      </c>
      <c r="Q561" s="30">
        <v>0</v>
      </c>
      <c r="R561" s="30"/>
      <c r="S561" s="30" t="s">
        <v>63</v>
      </c>
      <c r="T561" t="s">
        <v>33</v>
      </c>
      <c r="U561" s="31" t="e">
        <v>#N/A</v>
      </c>
      <c r="V561" t="s">
        <v>34</v>
      </c>
      <c r="Y561" t="e">
        <f>VLOOKUP(A561,[2]!PRGX[[#All],[Proveedor]],1,FALSE)</f>
        <v>#REF!</v>
      </c>
    </row>
    <row r="562" spans="1:26" x14ac:dyDescent="0.25">
      <c r="A562" s="25">
        <v>302059</v>
      </c>
      <c r="B562" s="25" t="s">
        <v>595</v>
      </c>
      <c r="C562" s="26">
        <v>429</v>
      </c>
      <c r="D562" s="27">
        <v>182425700</v>
      </c>
      <c r="E562" s="27">
        <v>126136616</v>
      </c>
      <c r="F562" s="27">
        <v>56289084</v>
      </c>
      <c r="G562" s="27">
        <f>VLOOKUP(A562,'[1]saldos al 26May26'!$C$2:$I$1010,7,FALSE)</f>
        <v>-3998984.59</v>
      </c>
      <c r="H562" s="27"/>
      <c r="I562" s="28" t="s">
        <v>27</v>
      </c>
      <c r="J562" s="29"/>
      <c r="K562" s="25" t="s">
        <v>29</v>
      </c>
      <c r="L562" s="25" t="s">
        <v>30</v>
      </c>
      <c r="M562" s="25" t="s">
        <v>55</v>
      </c>
      <c r="N562" s="25"/>
      <c r="O562" t="s">
        <v>36</v>
      </c>
      <c r="P562" s="30">
        <v>2768307.2</v>
      </c>
      <c r="Q562" s="30">
        <v>1912320</v>
      </c>
      <c r="R562" s="30"/>
      <c r="S562" s="30" t="s">
        <v>63</v>
      </c>
      <c r="T562" t="s">
        <v>33</v>
      </c>
      <c r="U562" s="31" t="s">
        <v>33</v>
      </c>
      <c r="V562" t="s">
        <v>33</v>
      </c>
      <c r="Y562" t="e">
        <f>VLOOKUP(A562,[2]!PRGX[[#All],[Proveedor]],1,FALSE)</f>
        <v>#REF!</v>
      </c>
      <c r="Z562">
        <v>302059</v>
      </c>
    </row>
    <row r="563" spans="1:26" x14ac:dyDescent="0.25">
      <c r="A563" s="25">
        <v>391250</v>
      </c>
      <c r="B563" s="25" t="s">
        <v>596</v>
      </c>
      <c r="C563" s="26">
        <v>12553738</v>
      </c>
      <c r="D563" s="27">
        <v>14215940271.7756</v>
      </c>
      <c r="E563" s="27">
        <v>12504091300.1854</v>
      </c>
      <c r="F563" s="27">
        <v>1711848971.5901999</v>
      </c>
      <c r="G563" s="27">
        <f>VLOOKUP(A563,'[1]saldos al 26May26'!$C$2:$I$1010,7,FALSE)</f>
        <v>-173783486.03999999</v>
      </c>
      <c r="H563" s="27"/>
      <c r="I563" s="28" t="s">
        <v>27</v>
      </c>
      <c r="J563" s="29"/>
      <c r="K563" s="25" t="s">
        <v>40</v>
      </c>
      <c r="L563" s="25" t="s">
        <v>30</v>
      </c>
      <c r="M563" s="25" t="s">
        <v>31</v>
      </c>
      <c r="N563" s="25" t="s">
        <v>56</v>
      </c>
      <c r="O563" t="s">
        <v>56</v>
      </c>
      <c r="P563" s="32">
        <v>-30370311.59</v>
      </c>
      <c r="Q563" s="30">
        <v>3825356.86</v>
      </c>
      <c r="R563" s="30"/>
      <c r="S563" s="30" t="s">
        <v>33</v>
      </c>
      <c r="T563" t="s">
        <v>42</v>
      </c>
      <c r="U563" s="31" t="e">
        <v>#N/A</v>
      </c>
      <c r="V563" t="s">
        <v>34</v>
      </c>
      <c r="X563" t="s">
        <v>43</v>
      </c>
      <c r="Y563" t="e">
        <f>VLOOKUP(A563,[2]!PRGX[[#All],[Proveedor]],1,FALSE)</f>
        <v>#REF!</v>
      </c>
      <c r="Z563">
        <v>391250</v>
      </c>
    </row>
    <row r="564" spans="1:26" x14ac:dyDescent="0.25">
      <c r="A564" s="25">
        <v>19406</v>
      </c>
      <c r="B564" s="25" t="s">
        <v>597</v>
      </c>
      <c r="C564" s="49">
        <v>561710</v>
      </c>
      <c r="D564" s="50">
        <v>4174618193.0348001</v>
      </c>
      <c r="E564" s="27">
        <v>3300588757.6048002</v>
      </c>
      <c r="F564" s="27">
        <v>874029435.42999995</v>
      </c>
      <c r="G564" s="50">
        <f>VLOOKUP(A564,'[1]saldos al 26May26'!$C$2:$I$1010,7,FALSE)</f>
        <v>-208061797.02000001</v>
      </c>
      <c r="H564" s="50"/>
      <c r="I564" s="28" t="s">
        <v>27</v>
      </c>
      <c r="J564" s="51"/>
      <c r="K564" s="25" t="s">
        <v>29</v>
      </c>
      <c r="L564" s="25" t="s">
        <v>30</v>
      </c>
      <c r="M564" s="25" t="s">
        <v>59</v>
      </c>
      <c r="N564" s="25"/>
      <c r="O564" t="s">
        <v>56</v>
      </c>
      <c r="P564" s="60">
        <v>-3887658.1000000006</v>
      </c>
      <c r="Q564" s="61">
        <v>5475604.0700000003</v>
      </c>
      <c r="R564" s="30">
        <v>914452</v>
      </c>
      <c r="S564" s="30">
        <v>0</v>
      </c>
      <c r="T564" t="s">
        <v>33</v>
      </c>
      <c r="U564" s="31" t="e">
        <v>#N/A</v>
      </c>
      <c r="V564" t="s">
        <v>34</v>
      </c>
      <c r="Y564" t="e">
        <f>VLOOKUP(A564,[2]!PRGX[[#All],[Proveedor]],1,FALSE)</f>
        <v>#REF!</v>
      </c>
      <c r="Z564">
        <v>19406</v>
      </c>
    </row>
    <row r="565" spans="1:26" x14ac:dyDescent="0.25">
      <c r="A565" s="25">
        <v>33464</v>
      </c>
      <c r="B565" s="25" t="s">
        <v>598</v>
      </c>
      <c r="C565" s="26">
        <v>50645</v>
      </c>
      <c r="D565" s="27">
        <v>181074582.06</v>
      </c>
      <c r="E565" s="27">
        <v>152959552.42000002</v>
      </c>
      <c r="F565" s="27">
        <v>28115029.640000001</v>
      </c>
      <c r="G565" s="27">
        <f>VLOOKUP(A565,'[1]saldos al 26May26'!$C$2:$I$1010,7,FALSE)</f>
        <v>-4747169.57</v>
      </c>
      <c r="H565" s="27"/>
      <c r="I565" s="28"/>
      <c r="J565" s="29"/>
      <c r="K565" s="25" t="s">
        <v>29</v>
      </c>
      <c r="L565" s="25" t="s">
        <v>30</v>
      </c>
      <c r="M565" s="25" t="s">
        <v>31</v>
      </c>
      <c r="N565" s="25"/>
      <c r="O565" t="s">
        <v>41</v>
      </c>
      <c r="P565" s="32">
        <v>-97648</v>
      </c>
      <c r="Q565" s="30">
        <v>89216.15</v>
      </c>
      <c r="R565" s="30"/>
      <c r="S565" s="30" t="s">
        <v>63</v>
      </c>
      <c r="T565" t="s">
        <v>33</v>
      </c>
      <c r="U565" s="31" t="e">
        <v>#N/A</v>
      </c>
      <c r="V565" t="s">
        <v>34</v>
      </c>
      <c r="Y565" t="e">
        <f>VLOOKUP(A565,[2]!PRGX[[#All],[Proveedor]],1,FALSE)</f>
        <v>#REF!</v>
      </c>
    </row>
    <row r="566" spans="1:26" x14ac:dyDescent="0.25">
      <c r="A566" s="25">
        <v>76216</v>
      </c>
      <c r="B566" s="25" t="s">
        <v>599</v>
      </c>
      <c r="C566" s="26">
        <v>608484</v>
      </c>
      <c r="D566" s="27">
        <v>3837761047.77</v>
      </c>
      <c r="E566" s="27">
        <v>3137740427.8699999</v>
      </c>
      <c r="F566" s="27">
        <v>700020619.89999998</v>
      </c>
      <c r="G566" s="27">
        <f>VLOOKUP(A566,'[1]saldos al 26May26'!$C$2:$I$1010,7,FALSE)</f>
        <v>-189237225.19999999</v>
      </c>
      <c r="H566" s="27"/>
      <c r="I566" s="28" t="s">
        <v>27</v>
      </c>
      <c r="J566" s="29"/>
      <c r="K566" s="25" t="s">
        <v>29</v>
      </c>
      <c r="L566" s="25" t="s">
        <v>30</v>
      </c>
      <c r="M566" s="25" t="s">
        <v>59</v>
      </c>
      <c r="N566" s="25"/>
      <c r="O566" t="s">
        <v>56</v>
      </c>
      <c r="P566" s="32">
        <v>-37476.420000000857</v>
      </c>
      <c r="Q566" s="30">
        <v>4823207.45</v>
      </c>
      <c r="R566" s="30">
        <v>184000</v>
      </c>
      <c r="S566" s="30" t="s">
        <v>63</v>
      </c>
      <c r="T566" t="s">
        <v>33</v>
      </c>
      <c r="U566" s="31">
        <v>0</v>
      </c>
      <c r="V566" t="s">
        <v>42</v>
      </c>
      <c r="Y566" t="e">
        <f>VLOOKUP(A566,[2]!PRGX[[#All],[Proveedor]],1,FALSE)</f>
        <v>#REF!</v>
      </c>
      <c r="Z566">
        <v>76216</v>
      </c>
    </row>
    <row r="567" spans="1:26" s="42" customFormat="1" x14ac:dyDescent="0.25">
      <c r="A567" s="25">
        <v>49064</v>
      </c>
      <c r="B567" s="25" t="s">
        <v>600</v>
      </c>
      <c r="C567" s="26">
        <v>1694</v>
      </c>
      <c r="D567" s="27">
        <v>180715538</v>
      </c>
      <c r="E567" s="27">
        <v>138072074</v>
      </c>
      <c r="F567" s="27">
        <v>42643464</v>
      </c>
      <c r="G567" s="27">
        <f>VLOOKUP(A567,'[1]saldos al 26May26'!$C$2:$I$1010,7,FALSE)</f>
        <v>-14972236.189999999</v>
      </c>
      <c r="H567" s="27"/>
      <c r="I567" s="28"/>
      <c r="J567" s="29"/>
      <c r="K567" s="25" t="s">
        <v>29</v>
      </c>
      <c r="L567" s="25" t="s">
        <v>30</v>
      </c>
      <c r="M567" s="25" t="s">
        <v>50</v>
      </c>
      <c r="N567" s="25"/>
      <c r="O567" t="s">
        <v>70</v>
      </c>
      <c r="P567" s="32">
        <v>-3060</v>
      </c>
      <c r="Q567" s="30">
        <v>0</v>
      </c>
      <c r="R567" s="30"/>
      <c r="S567" s="30" t="s">
        <v>63</v>
      </c>
      <c r="T567" t="s">
        <v>33</v>
      </c>
      <c r="U567" s="31" t="e">
        <v>#N/A</v>
      </c>
      <c r="V567" t="s">
        <v>34</v>
      </c>
      <c r="W567"/>
      <c r="Y567" t="e">
        <f>VLOOKUP(A567,[2]!PRGX[[#All],[Proveedor]],1,FALSE)</f>
        <v>#REF!</v>
      </c>
      <c r="Z567"/>
    </row>
    <row r="568" spans="1:26" x14ac:dyDescent="0.25">
      <c r="A568" s="25">
        <v>81703</v>
      </c>
      <c r="B568" s="25" t="s">
        <v>601</v>
      </c>
      <c r="C568" s="26">
        <v>27683</v>
      </c>
      <c r="D568" s="27">
        <v>180712194.19800001</v>
      </c>
      <c r="E568" s="27">
        <v>137902018.44</v>
      </c>
      <c r="F568" s="27">
        <v>42810175.758000001</v>
      </c>
      <c r="G568" s="27">
        <f>VLOOKUP(A568,'[1]saldos al 26May26'!$C$2:$I$1010,7,FALSE)</f>
        <v>231887.01</v>
      </c>
      <c r="H568" s="39" t="s">
        <v>54</v>
      </c>
      <c r="I568" s="28"/>
      <c r="J568" s="29"/>
      <c r="K568" s="25" t="s">
        <v>29</v>
      </c>
      <c r="L568" s="25" t="s">
        <v>30</v>
      </c>
      <c r="M568" s="36" t="s">
        <v>55</v>
      </c>
      <c r="N568" s="25"/>
      <c r="O568" t="s">
        <v>67</v>
      </c>
      <c r="P568" s="32">
        <v>-1424242.62</v>
      </c>
      <c r="Q568" s="30">
        <v>915445.42</v>
      </c>
      <c r="R568" s="30">
        <v>122969.59</v>
      </c>
      <c r="S568" s="30" t="s">
        <v>63</v>
      </c>
      <c r="T568" t="s">
        <v>33</v>
      </c>
      <c r="U568" s="31" t="e">
        <v>#N/A</v>
      </c>
      <c r="V568" t="s">
        <v>34</v>
      </c>
      <c r="Y568" t="e">
        <f>VLOOKUP(A568,[2]!PRGX[[#All],[Proveedor]],1,FALSE)</f>
        <v>#REF!</v>
      </c>
    </row>
    <row r="569" spans="1:26" x14ac:dyDescent="0.25">
      <c r="A569" s="25">
        <v>12480</v>
      </c>
      <c r="B569" s="25" t="s">
        <v>602</v>
      </c>
      <c r="C569" s="26">
        <v>14325</v>
      </c>
      <c r="D569" s="27">
        <v>180228212.66</v>
      </c>
      <c r="E569" s="27">
        <v>125433659.25</v>
      </c>
      <c r="F569" s="27">
        <v>54794553.409999996</v>
      </c>
      <c r="G569" s="27">
        <f>VLOOKUP(A569,'[1]saldos al 26May26'!$C$2:$I$1010,7,FALSE)</f>
        <v>-20534494.359999999</v>
      </c>
      <c r="H569" s="27"/>
      <c r="I569" s="28"/>
      <c r="J569" s="29"/>
      <c r="K569" s="25" t="s">
        <v>29</v>
      </c>
      <c r="L569" s="25" t="s">
        <v>30</v>
      </c>
      <c r="M569" s="25" t="s">
        <v>50</v>
      </c>
      <c r="N569" s="25"/>
      <c r="O569" t="s">
        <v>70</v>
      </c>
      <c r="P569" s="30">
        <v>1099819.26</v>
      </c>
      <c r="Q569" s="30">
        <v>1722.01</v>
      </c>
      <c r="R569" s="30"/>
      <c r="S569" s="30" t="s">
        <v>63</v>
      </c>
      <c r="T569" t="s">
        <v>33</v>
      </c>
      <c r="U569" s="31">
        <v>0</v>
      </c>
      <c r="V569" t="s">
        <v>42</v>
      </c>
      <c r="Y569" t="e">
        <f>VLOOKUP(A569,[2]!PRGX[[#All],[Proveedor]],1,FALSE)</f>
        <v>#REF!</v>
      </c>
    </row>
    <row r="570" spans="1:26" x14ac:dyDescent="0.25">
      <c r="A570" s="25">
        <v>24078</v>
      </c>
      <c r="B570" s="25" t="s">
        <v>603</v>
      </c>
      <c r="C570" s="26">
        <v>23764</v>
      </c>
      <c r="D570" s="27">
        <v>179322385.52000001</v>
      </c>
      <c r="E570" s="27">
        <v>121440299.51000002</v>
      </c>
      <c r="F570" s="27">
        <v>57882086.009999998</v>
      </c>
      <c r="G570" s="27">
        <f>VLOOKUP(A570,'[1]saldos al 26May26'!$C$2:$I$1010,7,FALSE)</f>
        <v>-16543462.01</v>
      </c>
      <c r="H570" s="27"/>
      <c r="I570" s="28"/>
      <c r="J570" s="29"/>
      <c r="K570" s="25" t="s">
        <v>40</v>
      </c>
      <c r="L570" s="25" t="s">
        <v>30</v>
      </c>
      <c r="M570" s="25" t="s">
        <v>55</v>
      </c>
      <c r="N570" s="25" t="s">
        <v>70</v>
      </c>
      <c r="O570" t="s">
        <v>70</v>
      </c>
      <c r="P570" s="32">
        <v>-128955.48999999999</v>
      </c>
      <c r="Q570" s="30">
        <v>0</v>
      </c>
      <c r="R570" s="30">
        <v>2609003.66</v>
      </c>
      <c r="S570" s="30" t="s">
        <v>33</v>
      </c>
      <c r="T570" t="s">
        <v>33</v>
      </c>
      <c r="U570" s="31" t="e">
        <v>#N/A</v>
      </c>
      <c r="V570" t="s">
        <v>34</v>
      </c>
      <c r="Y570" t="e">
        <f>VLOOKUP(A570,[2]!PRGX[[#All],[Proveedor]],1,FALSE)</f>
        <v>#REF!</v>
      </c>
    </row>
    <row r="571" spans="1:26" x14ac:dyDescent="0.25">
      <c r="A571" s="25">
        <v>48298</v>
      </c>
      <c r="B571" s="25" t="s">
        <v>604</v>
      </c>
      <c r="C571" s="26">
        <v>14165</v>
      </c>
      <c r="D571" s="27">
        <v>178298439.44999999</v>
      </c>
      <c r="E571" s="27">
        <v>145020020.88999999</v>
      </c>
      <c r="F571" s="27">
        <v>33278418.559999999</v>
      </c>
      <c r="G571" s="27">
        <f>VLOOKUP(A571,'[1]saldos al 26May26'!$C$2:$I$1010,7,FALSE)</f>
        <v>-3364441.31</v>
      </c>
      <c r="H571" s="27"/>
      <c r="I571" s="28"/>
      <c r="J571" s="29"/>
      <c r="K571" s="25" t="s">
        <v>29</v>
      </c>
      <c r="L571" s="25" t="s">
        <v>30</v>
      </c>
      <c r="M571" s="25" t="s">
        <v>50</v>
      </c>
      <c r="N571" s="25"/>
      <c r="O571" t="s">
        <v>51</v>
      </c>
      <c r="P571" s="30">
        <v>489300.95000000007</v>
      </c>
      <c r="Q571" s="30">
        <v>243629.69</v>
      </c>
      <c r="R571" s="30">
        <v>132904</v>
      </c>
      <c r="S571" s="30" t="s">
        <v>63</v>
      </c>
      <c r="T571" t="s">
        <v>33</v>
      </c>
      <c r="U571" s="31">
        <v>0</v>
      </c>
      <c r="V571" t="s">
        <v>42</v>
      </c>
      <c r="Y571" t="e">
        <f>VLOOKUP(A571,[2]!PRGX[[#All],[Proveedor]],1,FALSE)</f>
        <v>#REF!</v>
      </c>
    </row>
    <row r="572" spans="1:26" x14ac:dyDescent="0.25">
      <c r="A572" s="25">
        <v>325670</v>
      </c>
      <c r="B572" s="25" t="s">
        <v>605</v>
      </c>
      <c r="C572" s="26">
        <v>459380</v>
      </c>
      <c r="D572" s="27">
        <v>2784437207.7852001</v>
      </c>
      <c r="E572" s="27">
        <v>2176822151.6164002</v>
      </c>
      <c r="F572" s="27">
        <v>607615056.1688</v>
      </c>
      <c r="G572" s="27">
        <f>VLOOKUP(A572,'[1]saldos al 26May26'!$C$2:$I$1010,7,FALSE)</f>
        <v>-160470276.83000001</v>
      </c>
      <c r="H572" s="27"/>
      <c r="I572" s="28" t="s">
        <v>27</v>
      </c>
      <c r="J572" s="29"/>
      <c r="K572" s="25" t="s">
        <v>29</v>
      </c>
      <c r="L572" s="25" t="s">
        <v>30</v>
      </c>
      <c r="M572" s="25" t="s">
        <v>31</v>
      </c>
      <c r="N572" s="25"/>
      <c r="O572" t="s">
        <v>56</v>
      </c>
      <c r="P572" s="32">
        <v>-8418663.290000001</v>
      </c>
      <c r="Q572" s="30">
        <v>2931702.02</v>
      </c>
      <c r="R572" s="30">
        <v>860927.5</v>
      </c>
      <c r="S572" s="30" t="s">
        <v>63</v>
      </c>
      <c r="T572" t="s">
        <v>33</v>
      </c>
      <c r="U572" s="31">
        <v>0</v>
      </c>
      <c r="V572" t="s">
        <v>42</v>
      </c>
      <c r="Y572" t="e">
        <f>VLOOKUP(A572,[2]!PRGX[[#All],[Proveedor]],1,FALSE)</f>
        <v>#REF!</v>
      </c>
      <c r="Z572">
        <v>325670</v>
      </c>
    </row>
    <row r="573" spans="1:26" s="42" customFormat="1" x14ac:dyDescent="0.25">
      <c r="A573" s="25">
        <v>385930</v>
      </c>
      <c r="B573" s="25" t="s">
        <v>606</v>
      </c>
      <c r="C573" s="26">
        <v>113842</v>
      </c>
      <c r="D573" s="27">
        <v>176920457.28</v>
      </c>
      <c r="E573" s="27">
        <v>163157186</v>
      </c>
      <c r="F573" s="27">
        <v>13763271.279999999</v>
      </c>
      <c r="G573" s="27">
        <f>VLOOKUP(A573,'[1]saldos al 26May26'!$C$2:$I$1010,7,FALSE)</f>
        <v>-1624269.96</v>
      </c>
      <c r="H573" s="27"/>
      <c r="I573" s="28"/>
      <c r="J573" s="29"/>
      <c r="K573" s="25" t="s">
        <v>29</v>
      </c>
      <c r="L573" s="25" t="s">
        <v>30</v>
      </c>
      <c r="M573" s="25" t="s">
        <v>50</v>
      </c>
      <c r="N573" s="25"/>
      <c r="O573" t="s">
        <v>32</v>
      </c>
      <c r="P573" s="30">
        <v>4515847.46</v>
      </c>
      <c r="Q573" s="30">
        <v>1131166.68</v>
      </c>
      <c r="R573" s="30"/>
      <c r="S573" s="30" t="s">
        <v>33</v>
      </c>
      <c r="T573" t="s">
        <v>33</v>
      </c>
      <c r="U573" s="31" t="e">
        <v>#N/A</v>
      </c>
      <c r="V573" t="s">
        <v>34</v>
      </c>
      <c r="W573"/>
      <c r="Y573" t="e">
        <f>VLOOKUP(A573,[2]!PRGX[[#All],[Proveedor]],1,FALSE)</f>
        <v>#REF!</v>
      </c>
      <c r="Z573"/>
    </row>
    <row r="574" spans="1:26" x14ac:dyDescent="0.25">
      <c r="A574" s="25">
        <v>13888</v>
      </c>
      <c r="B574" s="25" t="s">
        <v>607</v>
      </c>
      <c r="C574" s="26">
        <v>13796</v>
      </c>
      <c r="D574" s="27">
        <v>176550171.90000001</v>
      </c>
      <c r="E574" s="27">
        <v>152816178.54000002</v>
      </c>
      <c r="F574" s="27">
        <v>23733993.359999999</v>
      </c>
      <c r="G574" s="27">
        <f>VLOOKUP(A574,'[1]saldos al 26May26'!$C$2:$I$1010,7,FALSE)</f>
        <v>-1948536.05</v>
      </c>
      <c r="H574" s="27"/>
      <c r="I574" s="28"/>
      <c r="J574" s="29"/>
      <c r="K574" s="25" t="s">
        <v>29</v>
      </c>
      <c r="L574" s="25" t="s">
        <v>30</v>
      </c>
      <c r="M574" s="25" t="s">
        <v>50</v>
      </c>
      <c r="N574" s="25"/>
      <c r="O574" t="s">
        <v>87</v>
      </c>
      <c r="P574" s="32">
        <v>-1261335.67</v>
      </c>
      <c r="Q574" s="30">
        <v>0</v>
      </c>
      <c r="R574" s="30"/>
      <c r="S574" s="30" t="s">
        <v>33</v>
      </c>
      <c r="T574" t="s">
        <v>33</v>
      </c>
      <c r="U574" s="31" t="e">
        <v>#N/A</v>
      </c>
      <c r="V574" t="s">
        <v>34</v>
      </c>
      <c r="Y574" t="e">
        <f>VLOOKUP(A574,[2]!PRGX[[#All],[Proveedor]],1,FALSE)</f>
        <v>#REF!</v>
      </c>
    </row>
    <row r="575" spans="1:26" x14ac:dyDescent="0.25">
      <c r="A575" s="25">
        <v>668</v>
      </c>
      <c r="B575" s="25" t="s">
        <v>608</v>
      </c>
      <c r="C575" s="26">
        <v>2877</v>
      </c>
      <c r="D575" s="27">
        <v>175613569.70100001</v>
      </c>
      <c r="E575" s="27">
        <v>161085671.493</v>
      </c>
      <c r="F575" s="27">
        <v>14527898.208000001</v>
      </c>
      <c r="G575" s="27">
        <f>VLOOKUP(A575,'[1]saldos al 26May26'!$C$2:$I$1010,7,FALSE)</f>
        <v>-168243.32</v>
      </c>
      <c r="H575" s="27"/>
      <c r="I575" s="28"/>
      <c r="J575" s="29"/>
      <c r="K575" s="25" t="s">
        <v>29</v>
      </c>
      <c r="L575" s="25" t="s">
        <v>30</v>
      </c>
      <c r="M575" s="25" t="s">
        <v>50</v>
      </c>
      <c r="N575" s="25"/>
      <c r="O575" t="s">
        <v>36</v>
      </c>
      <c r="P575" s="30">
        <v>452567.03999999998</v>
      </c>
      <c r="Q575" s="30">
        <v>699554.64</v>
      </c>
      <c r="R575" s="30"/>
      <c r="S575" s="30" t="s">
        <v>33</v>
      </c>
      <c r="T575" t="s">
        <v>33</v>
      </c>
      <c r="U575" s="31" t="e">
        <v>#N/A</v>
      </c>
      <c r="V575" t="s">
        <v>34</v>
      </c>
      <c r="Y575" t="e">
        <f>VLOOKUP(A575,[2]!PRGX[[#All],[Proveedor]],1,FALSE)</f>
        <v>#REF!</v>
      </c>
    </row>
    <row r="576" spans="1:26" x14ac:dyDescent="0.25">
      <c r="A576" s="25">
        <v>230</v>
      </c>
      <c r="B576" s="25" t="s">
        <v>609</v>
      </c>
      <c r="C576" s="26">
        <v>1320</v>
      </c>
      <c r="D576" s="27">
        <v>175565829.28</v>
      </c>
      <c r="E576" s="27">
        <v>156598360.96000001</v>
      </c>
      <c r="F576" s="27">
        <v>18967468.32</v>
      </c>
      <c r="G576" s="27">
        <f>VLOOKUP(A576,'[1]saldos al 26May26'!$C$2:$I$1010,7,FALSE)</f>
        <v>-26212918.82</v>
      </c>
      <c r="H576" s="27"/>
      <c r="I576" s="28"/>
      <c r="J576" s="29"/>
      <c r="K576" s="25" t="s">
        <v>29</v>
      </c>
      <c r="L576" s="25" t="s">
        <v>30</v>
      </c>
      <c r="M576" s="25" t="s">
        <v>50</v>
      </c>
      <c r="N576" s="25"/>
      <c r="O576" t="s">
        <v>32</v>
      </c>
      <c r="P576" s="32">
        <v>-519863.51</v>
      </c>
      <c r="Q576" s="30">
        <v>0</v>
      </c>
      <c r="R576" s="30">
        <v>160579.38</v>
      </c>
      <c r="S576" s="30" t="s">
        <v>63</v>
      </c>
      <c r="T576" t="s">
        <v>33</v>
      </c>
      <c r="U576" s="31" t="e">
        <v>#N/A</v>
      </c>
      <c r="V576" t="s">
        <v>34</v>
      </c>
      <c r="Y576" t="e">
        <f>VLOOKUP(A576,[2]!PRGX[[#All],[Proveedor]],1,FALSE)</f>
        <v>#REF!</v>
      </c>
    </row>
    <row r="577" spans="1:26" x14ac:dyDescent="0.25">
      <c r="A577" s="52">
        <v>8613</v>
      </c>
      <c r="B577" s="52" t="s">
        <v>610</v>
      </c>
      <c r="C577" s="53">
        <v>30503</v>
      </c>
      <c r="D577" s="54">
        <v>174214570.11000001</v>
      </c>
      <c r="E577" s="27">
        <v>133205814.01000002</v>
      </c>
      <c r="F577" s="27">
        <v>41008756.100000001</v>
      </c>
      <c r="G577" s="54">
        <f>VLOOKUP(A577,'[1]saldos al 26May26'!$C$2:$I$1010,7,FALSE)</f>
        <v>-17313052.489999998</v>
      </c>
      <c r="H577" s="54"/>
      <c r="I577" s="55"/>
      <c r="J577" s="56">
        <v>126063.69564425549</v>
      </c>
      <c r="K577" s="52" t="s">
        <v>40</v>
      </c>
      <c r="L577" s="52" t="s">
        <v>30</v>
      </c>
      <c r="M577" s="52" t="s">
        <v>31</v>
      </c>
      <c r="N577" s="52" t="s">
        <v>51</v>
      </c>
      <c r="O577" s="57" t="s">
        <v>51</v>
      </c>
      <c r="P577" s="58">
        <v>451530.48000000004</v>
      </c>
      <c r="Q577" s="58">
        <v>779706.23</v>
      </c>
      <c r="R577" s="30">
        <v>799722.8600000001</v>
      </c>
      <c r="S577" s="30" t="e">
        <v>#N/A</v>
      </c>
      <c r="T577" s="57" t="s">
        <v>34</v>
      </c>
      <c r="U577" s="31" t="e">
        <v>#N/A</v>
      </c>
      <c r="V577" s="57" t="s">
        <v>34</v>
      </c>
      <c r="X577" t="s">
        <v>43</v>
      </c>
      <c r="Y577" t="e">
        <f>VLOOKUP(A577,[2]!PRGX[[#All],[Proveedor]],1,FALSE)</f>
        <v>#REF!</v>
      </c>
    </row>
    <row r="578" spans="1:26" x14ac:dyDescent="0.25">
      <c r="A578" s="52">
        <v>327460</v>
      </c>
      <c r="B578" s="52" t="s">
        <v>611</v>
      </c>
      <c r="C578" s="53">
        <v>81615</v>
      </c>
      <c r="D578" s="54">
        <v>173937439.77000001</v>
      </c>
      <c r="E578" s="27">
        <v>139624924.62</v>
      </c>
      <c r="F578" s="27">
        <v>34312515.149999999</v>
      </c>
      <c r="G578" s="54">
        <f>VLOOKUP(A578,'[1]saldos al 26May26'!$C$2:$I$1010,7,FALSE)</f>
        <v>-4167636.41</v>
      </c>
      <c r="H578" s="54"/>
      <c r="I578" s="55"/>
      <c r="J578" s="56">
        <v>400848.8544971603</v>
      </c>
      <c r="K578" s="52" t="s">
        <v>40</v>
      </c>
      <c r="L578" s="52" t="s">
        <v>30</v>
      </c>
      <c r="M578" s="52" t="s">
        <v>50</v>
      </c>
      <c r="N578" s="52" t="s">
        <v>80</v>
      </c>
      <c r="O578" s="57" t="s">
        <v>80</v>
      </c>
      <c r="P578" s="58">
        <v>9839758.5999999996</v>
      </c>
      <c r="Q578" s="58">
        <v>490.12</v>
      </c>
      <c r="R578" s="30">
        <v>551437.46</v>
      </c>
      <c r="S578" s="30" t="s">
        <v>63</v>
      </c>
      <c r="T578" s="57" t="s">
        <v>33</v>
      </c>
      <c r="U578" s="31" t="s">
        <v>33</v>
      </c>
      <c r="V578" t="s">
        <v>33</v>
      </c>
      <c r="Y578" t="e">
        <f>VLOOKUP(A578,[2]!PRGX[[#All],[Proveedor]],1,FALSE)</f>
        <v>#REF!</v>
      </c>
    </row>
    <row r="579" spans="1:26" x14ac:dyDescent="0.25">
      <c r="A579" s="25">
        <v>49775</v>
      </c>
      <c r="B579" s="25" t="s">
        <v>612</v>
      </c>
      <c r="C579" s="26">
        <v>4737</v>
      </c>
      <c r="D579" s="27">
        <v>173800404.08000001</v>
      </c>
      <c r="E579" s="27">
        <v>144312839.76000002</v>
      </c>
      <c r="F579" s="27">
        <v>29487564.32</v>
      </c>
      <c r="G579" s="27">
        <f>VLOOKUP(A579,'[1]saldos al 26May26'!$C$2:$I$1010,7,FALSE)</f>
        <v>-5103579.16</v>
      </c>
      <c r="H579" s="27"/>
      <c r="I579" s="28"/>
      <c r="J579" s="29"/>
      <c r="K579" s="25" t="s">
        <v>29</v>
      </c>
      <c r="L579" s="25" t="s">
        <v>30</v>
      </c>
      <c r="M579" s="25" t="s">
        <v>50</v>
      </c>
      <c r="N579" s="25"/>
      <c r="O579" t="s">
        <v>87</v>
      </c>
      <c r="P579" s="30">
        <v>1122011.0699999998</v>
      </c>
      <c r="Q579" s="30">
        <v>0</v>
      </c>
      <c r="R579" s="30">
        <v>184508</v>
      </c>
      <c r="S579" s="30" t="s">
        <v>33</v>
      </c>
      <c r="T579" t="s">
        <v>33</v>
      </c>
      <c r="U579" s="31" t="e">
        <v>#N/A</v>
      </c>
      <c r="V579" t="s">
        <v>34</v>
      </c>
      <c r="Y579" t="e">
        <f>VLOOKUP(A579,[2]!PRGX[[#All],[Proveedor]],1,FALSE)</f>
        <v>#REF!</v>
      </c>
    </row>
    <row r="580" spans="1:26" x14ac:dyDescent="0.25">
      <c r="A580" s="25">
        <v>11914</v>
      </c>
      <c r="B580" s="25" t="s">
        <v>613</v>
      </c>
      <c r="C580" s="26">
        <v>13377</v>
      </c>
      <c r="D580" s="27">
        <v>172460722.00220001</v>
      </c>
      <c r="E580" s="27">
        <v>135045865.33000001</v>
      </c>
      <c r="F580" s="27">
        <v>37414856.672200002</v>
      </c>
      <c r="G580" s="27">
        <f>VLOOKUP(A580,'[1]saldos al 26May26'!$C$2:$I$1010,7,FALSE)</f>
        <v>-21236276.800000001</v>
      </c>
      <c r="H580" s="27"/>
      <c r="I580" s="28"/>
      <c r="J580" s="29"/>
      <c r="K580" s="25" t="s">
        <v>29</v>
      </c>
      <c r="L580" s="25" t="s">
        <v>30</v>
      </c>
      <c r="M580" s="25" t="s">
        <v>50</v>
      </c>
      <c r="N580" s="25"/>
      <c r="O580" t="s">
        <v>38</v>
      </c>
      <c r="P580" s="32">
        <v>-154575.67000000001</v>
      </c>
      <c r="Q580" s="30">
        <v>1129940.97</v>
      </c>
      <c r="R580" s="30">
        <v>1036894</v>
      </c>
      <c r="S580" s="30" t="s">
        <v>33</v>
      </c>
      <c r="T580" t="s">
        <v>33</v>
      </c>
      <c r="U580" s="31" t="e">
        <v>#N/A</v>
      </c>
      <c r="V580" t="s">
        <v>34</v>
      </c>
      <c r="Y580" t="e">
        <f>VLOOKUP(A580,[2]!PRGX[[#All],[Proveedor]],1,FALSE)</f>
        <v>#REF!</v>
      </c>
    </row>
    <row r="581" spans="1:26" x14ac:dyDescent="0.25">
      <c r="A581" s="25">
        <v>56689</v>
      </c>
      <c r="B581" s="25" t="s">
        <v>614</v>
      </c>
      <c r="C581" s="26">
        <v>4863</v>
      </c>
      <c r="D581" s="27">
        <v>172276997.18099999</v>
      </c>
      <c r="E581" s="27">
        <v>153339915.57299998</v>
      </c>
      <c r="F581" s="27">
        <v>18937081.607999999</v>
      </c>
      <c r="G581" s="27">
        <f>VLOOKUP(A581,'[1]saldos al 26May26'!$C$2:$I$1010,7,FALSE)</f>
        <v>-1380391.73</v>
      </c>
      <c r="H581" s="27"/>
      <c r="I581" s="28"/>
      <c r="J581" s="29"/>
      <c r="K581" s="25" t="s">
        <v>29</v>
      </c>
      <c r="L581" s="25" t="s">
        <v>30</v>
      </c>
      <c r="M581" s="25" t="s">
        <v>50</v>
      </c>
      <c r="N581" s="25"/>
      <c r="O581" t="s">
        <v>36</v>
      </c>
      <c r="P581" s="32">
        <v>-15904.169999999998</v>
      </c>
      <c r="Q581" s="30">
        <v>519691.5</v>
      </c>
      <c r="R581" s="30"/>
      <c r="S581" s="30" t="s">
        <v>33</v>
      </c>
      <c r="T581" t="s">
        <v>33</v>
      </c>
      <c r="U581" s="31" t="e">
        <v>#N/A</v>
      </c>
      <c r="V581" t="s">
        <v>34</v>
      </c>
      <c r="Y581" t="e">
        <f>VLOOKUP(A581,[2]!PRGX[[#All],[Proveedor]],1,FALSE)</f>
        <v>#REF!</v>
      </c>
    </row>
    <row r="582" spans="1:26" x14ac:dyDescent="0.25">
      <c r="A582" s="25">
        <v>303535</v>
      </c>
      <c r="B582" s="25" t="s">
        <v>615</v>
      </c>
      <c r="C582" s="26">
        <v>62255</v>
      </c>
      <c r="D582" s="27">
        <v>170835098.74000001</v>
      </c>
      <c r="E582" s="27">
        <v>134572711.06999999</v>
      </c>
      <c r="F582" s="27">
        <v>36262387.670000002</v>
      </c>
      <c r="G582" s="27">
        <f>VLOOKUP(A582,'[1]saldos al 26May26'!$C$2:$I$1010,7,FALSE)</f>
        <v>-3296232.42</v>
      </c>
      <c r="H582" s="27"/>
      <c r="I582" s="28"/>
      <c r="J582" s="29"/>
      <c r="K582" s="25" t="s">
        <v>29</v>
      </c>
      <c r="L582" s="25" t="s">
        <v>30</v>
      </c>
      <c r="M582" s="25" t="s">
        <v>50</v>
      </c>
      <c r="N582" s="25"/>
      <c r="O582" t="s">
        <v>67</v>
      </c>
      <c r="P582" s="32">
        <v>-12064938.83</v>
      </c>
      <c r="Q582" s="30">
        <v>152494.53</v>
      </c>
      <c r="R582" s="30"/>
      <c r="S582" s="30" t="s">
        <v>33</v>
      </c>
      <c r="T582" t="s">
        <v>33</v>
      </c>
      <c r="U582" s="31" t="e">
        <v>#N/A</v>
      </c>
      <c r="V582" t="s">
        <v>34</v>
      </c>
      <c r="W582" s="42"/>
      <c r="Y582" t="e">
        <f>VLOOKUP(A582,[2]!PRGX[[#All],[Proveedor]],1,FALSE)</f>
        <v>#REF!</v>
      </c>
    </row>
    <row r="583" spans="1:26" x14ac:dyDescent="0.25">
      <c r="A583" s="36">
        <v>214913</v>
      </c>
      <c r="B583" s="36" t="s">
        <v>616</v>
      </c>
      <c r="C583" s="37">
        <v>4055</v>
      </c>
      <c r="D583" s="38">
        <v>167897516.13</v>
      </c>
      <c r="E583" s="38">
        <v>142006088.63</v>
      </c>
      <c r="F583" s="38">
        <v>25891427.5</v>
      </c>
      <c r="G583" s="38" t="e">
        <f>VLOOKUP(A583,'[1]saldos al 26May26'!$C$2:$I$1010,7,FALSE)</f>
        <v>#N/A</v>
      </c>
      <c r="H583" s="39" t="s">
        <v>54</v>
      </c>
      <c r="I583" s="40"/>
      <c r="J583" s="41">
        <v>676491.05621475005</v>
      </c>
      <c r="K583" s="36" t="s">
        <v>29</v>
      </c>
      <c r="L583" s="36" t="s">
        <v>30</v>
      </c>
      <c r="M583" s="36" t="s">
        <v>55</v>
      </c>
      <c r="N583" s="25"/>
      <c r="O583" s="42" t="s">
        <v>36</v>
      </c>
      <c r="P583" s="32">
        <v>-382091.4</v>
      </c>
      <c r="Q583" s="30">
        <v>606491.88</v>
      </c>
      <c r="R583" s="30"/>
      <c r="S583" s="30" t="s">
        <v>63</v>
      </c>
      <c r="T583" t="s">
        <v>33</v>
      </c>
      <c r="U583" s="31" t="e">
        <v>#N/A</v>
      </c>
      <c r="V583" t="s">
        <v>34</v>
      </c>
      <c r="Y583" t="e">
        <f>VLOOKUP(A583,[2]!PRGX[[#All],[Proveedor]],1,FALSE)</f>
        <v>#REF!</v>
      </c>
    </row>
    <row r="584" spans="1:26" x14ac:dyDescent="0.25">
      <c r="A584" s="52">
        <v>33571</v>
      </c>
      <c r="B584" s="52" t="s">
        <v>617</v>
      </c>
      <c r="C584" s="53">
        <v>3427</v>
      </c>
      <c r="D584" s="54">
        <v>167684867.12</v>
      </c>
      <c r="E584" s="27">
        <v>120078988.52000001</v>
      </c>
      <c r="F584" s="27">
        <v>47605878.600000001</v>
      </c>
      <c r="G584" s="54">
        <f>VLOOKUP(A584,'[1]saldos al 26May26'!$C$2:$I$1010,7,FALSE)</f>
        <v>-6193077.4400000004</v>
      </c>
      <c r="H584" s="54"/>
      <c r="I584" s="55"/>
      <c r="J584" s="56">
        <v>832738.76995224506</v>
      </c>
      <c r="K584" s="52" t="s">
        <v>40</v>
      </c>
      <c r="L584" s="52" t="s">
        <v>30</v>
      </c>
      <c r="M584" s="52" t="s">
        <v>50</v>
      </c>
      <c r="N584" s="52" t="s">
        <v>87</v>
      </c>
      <c r="O584" s="57" t="s">
        <v>87</v>
      </c>
      <c r="P584" s="59">
        <v>-309430.5</v>
      </c>
      <c r="Q584" s="58">
        <v>0</v>
      </c>
      <c r="R584" s="30"/>
      <c r="S584" s="30" t="e">
        <v>#N/A</v>
      </c>
      <c r="T584" s="57" t="s">
        <v>34</v>
      </c>
      <c r="U584" s="31">
        <v>0</v>
      </c>
      <c r="V584" s="57" t="s">
        <v>42</v>
      </c>
      <c r="X584" t="s">
        <v>43</v>
      </c>
      <c r="Y584" t="e">
        <f>VLOOKUP(A584,[2]!PRGX[[#All],[Proveedor]],1,FALSE)</f>
        <v>#REF!</v>
      </c>
    </row>
    <row r="585" spans="1:26" x14ac:dyDescent="0.25">
      <c r="A585" s="52">
        <v>373894</v>
      </c>
      <c r="B585" s="52" t="s">
        <v>618</v>
      </c>
      <c r="C585" s="53">
        <v>13986</v>
      </c>
      <c r="D585" s="54">
        <v>165685825.13</v>
      </c>
      <c r="E585" s="27">
        <v>137115447.05000001</v>
      </c>
      <c r="F585" s="27">
        <v>28570378.079999998</v>
      </c>
      <c r="G585" s="54">
        <f>VLOOKUP(A585,'[1]saldos al 26May26'!$C$2:$I$1010,7,FALSE)</f>
        <v>-8584440.2200000007</v>
      </c>
      <c r="H585" s="54"/>
      <c r="I585" s="55"/>
      <c r="J585" s="56">
        <v>829228.04983011703</v>
      </c>
      <c r="K585" s="52" t="s">
        <v>40</v>
      </c>
      <c r="L585" s="52" t="s">
        <v>30</v>
      </c>
      <c r="M585" s="52" t="s">
        <v>50</v>
      </c>
      <c r="N585" s="52" t="s">
        <v>96</v>
      </c>
      <c r="O585" s="57" t="s">
        <v>96</v>
      </c>
      <c r="P585" s="58">
        <v>483235.35</v>
      </c>
      <c r="Q585" s="58">
        <v>510180.51</v>
      </c>
      <c r="R585" s="30">
        <v>1144049.6099999999</v>
      </c>
      <c r="S585" s="30">
        <v>0</v>
      </c>
      <c r="T585" s="57" t="s">
        <v>42</v>
      </c>
      <c r="U585" s="31">
        <v>0</v>
      </c>
      <c r="V585" s="57" t="s">
        <v>34</v>
      </c>
      <c r="X585" t="s">
        <v>43</v>
      </c>
      <c r="Y585" t="e">
        <f>VLOOKUP(A585,[2]!PRGX[[#All],[Proveedor]],1,FALSE)</f>
        <v>#REF!</v>
      </c>
    </row>
    <row r="586" spans="1:26" x14ac:dyDescent="0.25">
      <c r="A586" s="25">
        <v>95570</v>
      </c>
      <c r="B586" s="25" t="s">
        <v>619</v>
      </c>
      <c r="C586" s="26">
        <v>255607</v>
      </c>
      <c r="D586" s="27">
        <v>162626212.3107</v>
      </c>
      <c r="E586" s="27">
        <v>136570383.3378</v>
      </c>
      <c r="F586" s="27">
        <v>26055828.972899999</v>
      </c>
      <c r="G586" s="27">
        <f>VLOOKUP(A586,'[1]saldos al 26May26'!$C$2:$I$1010,7,FALSE)</f>
        <v>-2522088.33</v>
      </c>
      <c r="H586" s="27"/>
      <c r="I586" s="28"/>
      <c r="J586" s="29"/>
      <c r="K586" s="25" t="s">
        <v>29</v>
      </c>
      <c r="L586" s="25" t="s">
        <v>30</v>
      </c>
      <c r="M586" s="25" t="s">
        <v>50</v>
      </c>
      <c r="N586" s="25"/>
      <c r="O586" t="s">
        <v>32</v>
      </c>
      <c r="P586" s="32">
        <v>-120377.85999999999</v>
      </c>
      <c r="Q586" s="30">
        <v>33225.550000000003</v>
      </c>
      <c r="R586" s="30"/>
      <c r="S586" s="30" t="s">
        <v>33</v>
      </c>
      <c r="T586" t="s">
        <v>33</v>
      </c>
      <c r="U586" s="31" t="e">
        <v>#N/A</v>
      </c>
      <c r="V586" t="s">
        <v>34</v>
      </c>
      <c r="Y586" t="e">
        <f>VLOOKUP(A586,[2]!PRGX[[#All],[Proveedor]],1,FALSE)</f>
        <v>#REF!</v>
      </c>
    </row>
    <row r="587" spans="1:26" x14ac:dyDescent="0.25">
      <c r="A587" s="25">
        <v>90589</v>
      </c>
      <c r="B587" s="25" t="s">
        <v>620</v>
      </c>
      <c r="C587" s="26">
        <v>42378</v>
      </c>
      <c r="D587" s="27">
        <v>162583529.0803</v>
      </c>
      <c r="E587" s="27">
        <v>143069583.4235</v>
      </c>
      <c r="F587" s="27">
        <v>19513945.656800002</v>
      </c>
      <c r="G587" s="27">
        <f>VLOOKUP(A587,'[1]saldos al 26May26'!$C$2:$I$1010,7,FALSE)</f>
        <v>-1941963.18</v>
      </c>
      <c r="H587" s="27"/>
      <c r="I587" s="28"/>
      <c r="J587" s="29">
        <v>639142.38682619948</v>
      </c>
      <c r="K587" s="25" t="s">
        <v>40</v>
      </c>
      <c r="L587" s="25" t="s">
        <v>30</v>
      </c>
      <c r="M587" s="25" t="s">
        <v>61</v>
      </c>
      <c r="N587" s="25" t="s">
        <v>47</v>
      </c>
      <c r="O587" t="s">
        <v>47</v>
      </c>
      <c r="P587" s="32">
        <v>-191429.01</v>
      </c>
      <c r="Q587" s="30">
        <v>0</v>
      </c>
      <c r="R587" s="30">
        <v>16668</v>
      </c>
      <c r="S587" s="30" t="s">
        <v>63</v>
      </c>
      <c r="T587" t="s">
        <v>33</v>
      </c>
      <c r="U587" s="31" t="e">
        <v>#N/A</v>
      </c>
      <c r="V587" t="s">
        <v>34</v>
      </c>
      <c r="Y587" t="e">
        <f>VLOOKUP(A587,[2]!PRGX[[#All],[Proveedor]],1,FALSE)</f>
        <v>#REF!</v>
      </c>
    </row>
    <row r="588" spans="1:26" x14ac:dyDescent="0.25">
      <c r="A588" s="25">
        <v>72330</v>
      </c>
      <c r="B588" s="25" t="s">
        <v>621</v>
      </c>
      <c r="C588" s="26">
        <v>12847</v>
      </c>
      <c r="D588" s="27">
        <v>162334783.55230001</v>
      </c>
      <c r="E588" s="27">
        <v>152885900.6785</v>
      </c>
      <c r="F588" s="27">
        <v>9448882.8738000002</v>
      </c>
      <c r="G588" s="27">
        <f>VLOOKUP(A588,'[1]saldos al 26May26'!$C$2:$I$1010,7,FALSE)</f>
        <v>-552043.68999999994</v>
      </c>
      <c r="H588" s="27"/>
      <c r="I588" s="28"/>
      <c r="J588" s="29"/>
      <c r="K588" s="25" t="s">
        <v>29</v>
      </c>
      <c r="L588" s="25" t="s">
        <v>30</v>
      </c>
      <c r="M588" s="25" t="s">
        <v>50</v>
      </c>
      <c r="N588" s="25"/>
      <c r="O588" t="s">
        <v>80</v>
      </c>
      <c r="P588" s="32">
        <v>-225913.02</v>
      </c>
      <c r="Q588" s="30">
        <v>11533.62</v>
      </c>
      <c r="R588" s="30"/>
      <c r="S588" s="30" t="s">
        <v>33</v>
      </c>
      <c r="T588" t="s">
        <v>33</v>
      </c>
      <c r="U588" s="31" t="e">
        <v>#N/A</v>
      </c>
      <c r="V588" t="s">
        <v>34</v>
      </c>
      <c r="Y588" t="e">
        <f>VLOOKUP(A588,[2]!PRGX[[#All],[Proveedor]],1,FALSE)</f>
        <v>#REF!</v>
      </c>
    </row>
    <row r="589" spans="1:26" x14ac:dyDescent="0.25">
      <c r="A589" s="25">
        <v>14311</v>
      </c>
      <c r="B589" s="25" t="s">
        <v>622</v>
      </c>
      <c r="C589" s="26">
        <v>30061</v>
      </c>
      <c r="D589" s="27">
        <v>161005665.13999999</v>
      </c>
      <c r="E589" s="27">
        <v>134690139.33999997</v>
      </c>
      <c r="F589" s="27">
        <v>26315525.800000001</v>
      </c>
      <c r="G589" s="27">
        <f>VLOOKUP(A589,'[1]saldos al 26May26'!$C$2:$I$1010,7,FALSE)</f>
        <v>-2537816.86</v>
      </c>
      <c r="H589" s="27"/>
      <c r="I589" s="28"/>
      <c r="J589" s="29"/>
      <c r="K589" s="25" t="s">
        <v>29</v>
      </c>
      <c r="L589" s="25" t="s">
        <v>30</v>
      </c>
      <c r="M589" s="25" t="s">
        <v>31</v>
      </c>
      <c r="N589" s="25"/>
      <c r="O589" t="s">
        <v>80</v>
      </c>
      <c r="P589" s="32">
        <v>-1227334.9300000002</v>
      </c>
      <c r="Q589" s="30">
        <v>0</v>
      </c>
      <c r="R589" s="30">
        <v>70677.279999999999</v>
      </c>
      <c r="S589" s="30" t="s">
        <v>63</v>
      </c>
      <c r="T589" t="s">
        <v>33</v>
      </c>
      <c r="U589" s="31" t="e">
        <v>#N/A</v>
      </c>
      <c r="V589" t="s">
        <v>34</v>
      </c>
      <c r="Y589" t="e">
        <f>VLOOKUP(A589,[2]!PRGX[[#All],[Proveedor]],1,FALSE)</f>
        <v>#REF!</v>
      </c>
    </row>
    <row r="590" spans="1:26" s="42" customFormat="1" x14ac:dyDescent="0.25">
      <c r="A590" s="25">
        <v>203749</v>
      </c>
      <c r="B590" s="25" t="s">
        <v>623</v>
      </c>
      <c r="C590" s="26">
        <v>1320</v>
      </c>
      <c r="D590" s="27">
        <v>160889220.065</v>
      </c>
      <c r="E590" s="27">
        <v>131601266.73999999</v>
      </c>
      <c r="F590" s="27">
        <v>29287953.324999999</v>
      </c>
      <c r="G590" s="27">
        <f>VLOOKUP(A590,'[1]saldos al 26May26'!$C$2:$I$1010,7,FALSE)</f>
        <v>-340737.67</v>
      </c>
      <c r="H590" s="27"/>
      <c r="I590" s="28"/>
      <c r="J590" s="29"/>
      <c r="K590" s="25" t="s">
        <v>29</v>
      </c>
      <c r="L590" s="25" t="s">
        <v>30</v>
      </c>
      <c r="M590" s="25" t="s">
        <v>55</v>
      </c>
      <c r="N590" s="25"/>
      <c r="O590" t="s">
        <v>36</v>
      </c>
      <c r="P590" s="32">
        <v>-72343.350000000006</v>
      </c>
      <c r="Q590" s="30">
        <v>60374.62</v>
      </c>
      <c r="R590" s="30"/>
      <c r="S590" s="30" t="s">
        <v>63</v>
      </c>
      <c r="T590" t="s">
        <v>33</v>
      </c>
      <c r="U590" s="31" t="s">
        <v>33</v>
      </c>
      <c r="V590" t="s">
        <v>33</v>
      </c>
      <c r="W590"/>
      <c r="Y590" t="e">
        <f>VLOOKUP(A590,[2]!PRGX[[#All],[Proveedor]],1,FALSE)</f>
        <v>#REF!</v>
      </c>
      <c r="Z590"/>
    </row>
    <row r="591" spans="1:26" x14ac:dyDescent="0.25">
      <c r="A591" s="25">
        <v>9476</v>
      </c>
      <c r="B591" s="25" t="s">
        <v>624</v>
      </c>
      <c r="C591" s="26">
        <v>22565</v>
      </c>
      <c r="D591" s="27">
        <v>160857467.94400001</v>
      </c>
      <c r="E591" s="27">
        <v>152714850.18200001</v>
      </c>
      <c r="F591" s="27">
        <v>8142617.7620000001</v>
      </c>
      <c r="G591" s="27">
        <f>VLOOKUP(A591,'[1]saldos al 26May26'!$C$2:$I$1010,7,FALSE)</f>
        <v>2187.4699999999998</v>
      </c>
      <c r="H591" s="39" t="s">
        <v>54</v>
      </c>
      <c r="I591" s="28"/>
      <c r="J591" s="29"/>
      <c r="K591" s="25" t="s">
        <v>29</v>
      </c>
      <c r="L591" s="25" t="s">
        <v>30</v>
      </c>
      <c r="M591" s="36" t="s">
        <v>55</v>
      </c>
      <c r="N591" s="25"/>
      <c r="O591" t="s">
        <v>38</v>
      </c>
      <c r="P591" s="32">
        <v>-93855.66</v>
      </c>
      <c r="Q591" s="30">
        <v>7213</v>
      </c>
      <c r="R591" s="30">
        <v>320442.23000000004</v>
      </c>
      <c r="S591" s="30" t="s">
        <v>33</v>
      </c>
      <c r="T591" t="s">
        <v>33</v>
      </c>
      <c r="U591" s="31" t="e">
        <v>#N/A</v>
      </c>
      <c r="V591" t="s">
        <v>34</v>
      </c>
      <c r="Y591" t="e">
        <f>VLOOKUP(A591,[2]!PRGX[[#All],[Proveedor]],1,FALSE)</f>
        <v>#REF!</v>
      </c>
    </row>
    <row r="592" spans="1:26" x14ac:dyDescent="0.25">
      <c r="A592" s="25">
        <v>64345</v>
      </c>
      <c r="B592" s="25" t="s">
        <v>625</v>
      </c>
      <c r="C592" s="26">
        <v>32441</v>
      </c>
      <c r="D592" s="27">
        <v>160642725.96180001</v>
      </c>
      <c r="E592" s="27">
        <v>117802888.3418</v>
      </c>
      <c r="F592" s="27">
        <v>42839837.619999997</v>
      </c>
      <c r="G592" s="27">
        <f>VLOOKUP(A592,'[1]saldos al 26May26'!$C$2:$I$1010,7,FALSE)</f>
        <v>-12171300.640000001</v>
      </c>
      <c r="H592" s="27"/>
      <c r="I592" s="28"/>
      <c r="J592" s="29"/>
      <c r="K592" s="25" t="s">
        <v>29</v>
      </c>
      <c r="L592" s="25" t="s">
        <v>30</v>
      </c>
      <c r="M592" s="25" t="s">
        <v>31</v>
      </c>
      <c r="N592" s="25"/>
      <c r="O592" t="s">
        <v>36</v>
      </c>
      <c r="P592" s="32">
        <v>-160968.64000000001</v>
      </c>
      <c r="Q592" s="30">
        <v>37526.729999999996</v>
      </c>
      <c r="R592" s="30">
        <v>7628.5</v>
      </c>
      <c r="S592" s="30" t="s">
        <v>63</v>
      </c>
      <c r="T592" t="s">
        <v>33</v>
      </c>
      <c r="U592" s="31">
        <v>0</v>
      </c>
      <c r="V592" t="s">
        <v>42</v>
      </c>
      <c r="Y592" t="e">
        <f>VLOOKUP(A592,[2]!PRGX[[#All],[Proveedor]],1,FALSE)</f>
        <v>#REF!</v>
      </c>
    </row>
    <row r="593" spans="1:26" x14ac:dyDescent="0.25">
      <c r="A593" s="25">
        <v>11876</v>
      </c>
      <c r="B593" s="25" t="s">
        <v>626</v>
      </c>
      <c r="C593" s="26">
        <v>22468</v>
      </c>
      <c r="D593" s="27">
        <v>159410690.88</v>
      </c>
      <c r="E593" s="27">
        <v>125331232.38</v>
      </c>
      <c r="F593" s="27">
        <v>34079458.5</v>
      </c>
      <c r="G593" s="27">
        <f>VLOOKUP(A593,'[1]saldos al 26May26'!$C$2:$I$1010,7,FALSE)</f>
        <v>-5087626.91</v>
      </c>
      <c r="H593" s="27"/>
      <c r="I593" s="28"/>
      <c r="J593" s="29">
        <v>67379.123314662007</v>
      </c>
      <c r="K593" s="25" t="s">
        <v>40</v>
      </c>
      <c r="L593" s="25" t="s">
        <v>30</v>
      </c>
      <c r="M593" s="25" t="s">
        <v>31</v>
      </c>
      <c r="N593" s="25" t="s">
        <v>87</v>
      </c>
      <c r="O593" t="s">
        <v>87</v>
      </c>
      <c r="P593" s="32">
        <v>-106047.36</v>
      </c>
      <c r="Q593" s="30">
        <v>0</v>
      </c>
      <c r="R593" s="30"/>
      <c r="S593" s="30" t="s">
        <v>63</v>
      </c>
      <c r="T593" t="s">
        <v>33</v>
      </c>
      <c r="U593" s="31" t="e">
        <v>#N/A</v>
      </c>
      <c r="V593" t="s">
        <v>34</v>
      </c>
      <c r="Y593" t="e">
        <f>VLOOKUP(A593,[2]!PRGX[[#All],[Proveedor]],1,FALSE)</f>
        <v>#REF!</v>
      </c>
    </row>
    <row r="594" spans="1:26" x14ac:dyDescent="0.25">
      <c r="A594" s="25">
        <v>24577</v>
      </c>
      <c r="B594" s="25" t="s">
        <v>294</v>
      </c>
      <c r="C594" s="26">
        <v>6904</v>
      </c>
      <c r="D594" s="27">
        <v>159357883.94999999</v>
      </c>
      <c r="E594" s="27">
        <v>88301238.089999989</v>
      </c>
      <c r="F594" s="27">
        <v>71056645.859999999</v>
      </c>
      <c r="G594" s="27">
        <f>VLOOKUP(A594,'[1]saldos al 26May26'!$C$2:$I$1010,7,FALSE)</f>
        <v>-21484127.77</v>
      </c>
      <c r="H594" s="27"/>
      <c r="I594" s="28"/>
      <c r="J594" s="29"/>
      <c r="K594" s="25" t="s">
        <v>29</v>
      </c>
      <c r="L594" s="25" t="s">
        <v>30</v>
      </c>
      <c r="M594" s="25" t="s">
        <v>55</v>
      </c>
      <c r="N594" s="25"/>
      <c r="O594" t="s">
        <v>80</v>
      </c>
      <c r="P594" s="32">
        <v>-524322.05000000005</v>
      </c>
      <c r="Q594" s="30">
        <v>0</v>
      </c>
      <c r="R594" s="30"/>
      <c r="S594" s="30" t="s">
        <v>33</v>
      </c>
      <c r="T594" t="s">
        <v>33</v>
      </c>
      <c r="U594" s="31" t="e">
        <v>#N/A</v>
      </c>
      <c r="V594" t="s">
        <v>34</v>
      </c>
      <c r="Y594" t="e">
        <f>VLOOKUP(A594,[2]!PRGX[[#All],[Proveedor]],1,FALSE)</f>
        <v>#REF!</v>
      </c>
    </row>
    <row r="595" spans="1:26" x14ac:dyDescent="0.25">
      <c r="A595" s="25">
        <v>21356</v>
      </c>
      <c r="B595" s="25" t="s">
        <v>255</v>
      </c>
      <c r="C595" s="26">
        <v>2355</v>
      </c>
      <c r="D595" s="27">
        <v>159182212.961</v>
      </c>
      <c r="E595" s="27">
        <v>134363198.38099998</v>
      </c>
      <c r="F595" s="27">
        <v>24819014.579999998</v>
      </c>
      <c r="G595" s="27">
        <f>VLOOKUP(A595,'[1]saldos al 26May26'!$C$2:$I$1010,7,FALSE)</f>
        <v>-2562026.5099999998</v>
      </c>
      <c r="H595" s="27"/>
      <c r="I595" s="28"/>
      <c r="J595" s="29"/>
      <c r="K595" s="25" t="s">
        <v>29</v>
      </c>
      <c r="L595" s="25" t="s">
        <v>30</v>
      </c>
      <c r="M595" s="25" t="s">
        <v>31</v>
      </c>
      <c r="N595" s="25"/>
      <c r="O595" t="s">
        <v>41</v>
      </c>
      <c r="P595" s="30">
        <v>135847.45999999996</v>
      </c>
      <c r="Q595" s="30">
        <v>59061.599999999999</v>
      </c>
      <c r="R595" s="30"/>
      <c r="S595" s="30" t="s">
        <v>63</v>
      </c>
      <c r="T595" t="s">
        <v>33</v>
      </c>
      <c r="U595" s="31" t="e">
        <v>#N/A</v>
      </c>
      <c r="V595" t="s">
        <v>34</v>
      </c>
      <c r="W595" s="42"/>
      <c r="Y595" t="e">
        <f>VLOOKUP(A595,[2]!PRGX[[#All],[Proveedor]],1,FALSE)</f>
        <v>#REF!</v>
      </c>
    </row>
    <row r="596" spans="1:26" x14ac:dyDescent="0.25">
      <c r="A596" s="25">
        <v>22734</v>
      </c>
      <c r="B596" s="25" t="s">
        <v>627</v>
      </c>
      <c r="C596" s="26">
        <v>17218</v>
      </c>
      <c r="D596" s="27">
        <v>159014799.43000001</v>
      </c>
      <c r="E596" s="27">
        <v>131744471.15000001</v>
      </c>
      <c r="F596" s="27">
        <v>27270328.280000001</v>
      </c>
      <c r="G596" s="27">
        <f>VLOOKUP(A596,'[1]saldos al 26May26'!$C$2:$I$1010,7,FALSE)</f>
        <v>5800</v>
      </c>
      <c r="H596" s="39" t="s">
        <v>54</v>
      </c>
      <c r="I596" s="28"/>
      <c r="J596" s="29"/>
      <c r="K596" s="25" t="s">
        <v>29</v>
      </c>
      <c r="L596" s="25" t="s">
        <v>30</v>
      </c>
      <c r="M596" s="36" t="s">
        <v>55</v>
      </c>
      <c r="N596" s="25"/>
      <c r="O596" t="s">
        <v>36</v>
      </c>
      <c r="P596" s="30">
        <v>590845.67999999993</v>
      </c>
      <c r="Q596" s="30">
        <v>372017.4</v>
      </c>
      <c r="R596" s="30"/>
      <c r="S596" s="30" t="s">
        <v>33</v>
      </c>
      <c r="T596" t="s">
        <v>33</v>
      </c>
      <c r="U596" s="31" t="e">
        <v>#N/A</v>
      </c>
      <c r="V596" t="s">
        <v>34</v>
      </c>
      <c r="Y596" t="e">
        <f>VLOOKUP(A596,[2]!PRGX[[#All],[Proveedor]],1,FALSE)</f>
        <v>#REF!</v>
      </c>
    </row>
    <row r="597" spans="1:26" x14ac:dyDescent="0.25">
      <c r="A597" s="52">
        <v>70664</v>
      </c>
      <c r="B597" s="52" t="s">
        <v>628</v>
      </c>
      <c r="C597" s="53">
        <v>40126</v>
      </c>
      <c r="D597" s="54">
        <v>157471136.83000001</v>
      </c>
      <c r="E597" s="54">
        <v>128334099.42000002</v>
      </c>
      <c r="F597" s="54">
        <v>29137037.41</v>
      </c>
      <c r="G597" s="54">
        <f>VLOOKUP(A597,'[1]saldos al 26May26'!$C$2:$I$1010,7,FALSE)</f>
        <v>-6149883.1299999999</v>
      </c>
      <c r="H597" s="54"/>
      <c r="I597" s="55"/>
      <c r="J597" s="56">
        <v>542004.49768824456</v>
      </c>
      <c r="K597" s="52" t="s">
        <v>40</v>
      </c>
      <c r="L597" s="52" t="s">
        <v>30</v>
      </c>
      <c r="M597" s="52" t="s">
        <v>50</v>
      </c>
      <c r="N597" s="52" t="s">
        <v>47</v>
      </c>
      <c r="O597" s="57" t="s">
        <v>47</v>
      </c>
      <c r="P597" s="59">
        <v>-140448.28999999998</v>
      </c>
      <c r="Q597" s="58">
        <v>243605.36</v>
      </c>
      <c r="R597" s="30">
        <v>61787.5</v>
      </c>
      <c r="S597" s="30" t="s">
        <v>63</v>
      </c>
      <c r="T597" s="57" t="s">
        <v>33</v>
      </c>
      <c r="U597" s="31" t="s">
        <v>33</v>
      </c>
      <c r="V597" t="s">
        <v>33</v>
      </c>
      <c r="Y597" t="e">
        <f>VLOOKUP(A597,[2]!PRGX[[#All],[Proveedor]],1,FALSE)</f>
        <v>#REF!</v>
      </c>
    </row>
    <row r="598" spans="1:26" x14ac:dyDescent="0.25">
      <c r="A598" s="25">
        <v>325662</v>
      </c>
      <c r="B598" s="25" t="s">
        <v>629</v>
      </c>
      <c r="C598" s="26">
        <v>70703</v>
      </c>
      <c r="D598" s="27">
        <v>2022809189.5788</v>
      </c>
      <c r="E598" s="27">
        <v>1485241583.6087999</v>
      </c>
      <c r="F598" s="27">
        <v>537567605.97000003</v>
      </c>
      <c r="G598" s="27">
        <f>VLOOKUP(A598,'[1]saldos al 26May26'!$C$2:$I$1010,7,FALSE)</f>
        <v>-146512990.93000001</v>
      </c>
      <c r="H598" s="27"/>
      <c r="I598" s="28" t="s">
        <v>27</v>
      </c>
      <c r="J598" s="29"/>
      <c r="K598" s="25" t="s">
        <v>29</v>
      </c>
      <c r="L598" s="25" t="s">
        <v>30</v>
      </c>
      <c r="M598" s="25" t="s">
        <v>59</v>
      </c>
      <c r="N598" s="25"/>
      <c r="O598" t="s">
        <v>56</v>
      </c>
      <c r="P598" s="32">
        <v>-9627618.9299999997</v>
      </c>
      <c r="Q598" s="30">
        <v>2192835.36</v>
      </c>
      <c r="R598" s="30">
        <v>1411.42</v>
      </c>
      <c r="S598" s="30" t="s">
        <v>63</v>
      </c>
      <c r="T598" t="s">
        <v>33</v>
      </c>
      <c r="U598" s="31" t="e">
        <v>#N/A</v>
      </c>
      <c r="V598" t="s">
        <v>34</v>
      </c>
      <c r="Y598" t="e">
        <f>VLOOKUP(A598,[2]!PRGX[[#All],[Proveedor]],1,FALSE)</f>
        <v>#REF!</v>
      </c>
      <c r="Z598">
        <v>325662</v>
      </c>
    </row>
    <row r="599" spans="1:26" x14ac:dyDescent="0.25">
      <c r="A599" s="25">
        <v>54031</v>
      </c>
      <c r="B599" s="25" t="s">
        <v>630</v>
      </c>
      <c r="C599" s="26">
        <v>8725</v>
      </c>
      <c r="D599" s="27">
        <v>154972381.28999999</v>
      </c>
      <c r="E599" s="27">
        <v>118633042.29999998</v>
      </c>
      <c r="F599" s="27">
        <v>36339338.990000002</v>
      </c>
      <c r="G599" s="27">
        <f>VLOOKUP(A599,'[1]saldos al 26May26'!$C$2:$I$1010,7,FALSE)</f>
        <v>-5338559.46</v>
      </c>
      <c r="H599" s="27"/>
      <c r="I599" s="28"/>
      <c r="J599" s="29"/>
      <c r="K599" s="25" t="s">
        <v>29</v>
      </c>
      <c r="L599" s="25" t="s">
        <v>30</v>
      </c>
      <c r="M599" s="25" t="s">
        <v>50</v>
      </c>
      <c r="N599" s="25"/>
      <c r="O599" t="s">
        <v>80</v>
      </c>
      <c r="P599" s="30">
        <v>404062.75</v>
      </c>
      <c r="Q599" s="30">
        <v>621851.77999999991</v>
      </c>
      <c r="R599" s="30">
        <v>142643.28</v>
      </c>
      <c r="S599" s="30" t="s">
        <v>33</v>
      </c>
      <c r="T599" t="s">
        <v>33</v>
      </c>
      <c r="U599" s="31" t="e">
        <v>#N/A</v>
      </c>
      <c r="V599" t="s">
        <v>34</v>
      </c>
      <c r="Y599" t="e">
        <f>VLOOKUP(A599,[2]!PRGX[[#All],[Proveedor]],1,FALSE)</f>
        <v>#REF!</v>
      </c>
    </row>
    <row r="600" spans="1:26" x14ac:dyDescent="0.25">
      <c r="A600" s="25">
        <v>52431</v>
      </c>
      <c r="B600" s="25" t="s">
        <v>631</v>
      </c>
      <c r="C600" s="26">
        <v>100791</v>
      </c>
      <c r="D600" s="27">
        <v>154483301.09740001</v>
      </c>
      <c r="E600" s="27">
        <v>74118065.204200014</v>
      </c>
      <c r="F600" s="27">
        <v>80365235.893199995</v>
      </c>
      <c r="G600" s="27">
        <f>VLOOKUP(A600,'[1]saldos al 26May26'!$C$2:$I$1010,7,FALSE)</f>
        <v>-439031.98</v>
      </c>
      <c r="H600" s="27"/>
      <c r="I600" s="28"/>
      <c r="J600" s="29"/>
      <c r="K600" s="25" t="s">
        <v>40</v>
      </c>
      <c r="L600" s="25" t="s">
        <v>30</v>
      </c>
      <c r="M600" s="25" t="s">
        <v>55</v>
      </c>
      <c r="N600" s="25" t="s">
        <v>87</v>
      </c>
      <c r="O600" t="s">
        <v>87</v>
      </c>
      <c r="P600" s="32">
        <v>-39789.75</v>
      </c>
      <c r="Q600" s="30">
        <v>13596.1</v>
      </c>
      <c r="R600" s="30"/>
      <c r="S600" s="30" t="e">
        <v>#N/A</v>
      </c>
      <c r="T600" t="s">
        <v>34</v>
      </c>
      <c r="U600" s="31" t="e">
        <v>#N/A</v>
      </c>
      <c r="V600" t="s">
        <v>34</v>
      </c>
      <c r="Y600" t="e">
        <f>VLOOKUP(A600,[2]!PRGX[[#All],[Proveedor]],1,FALSE)</f>
        <v>#REF!</v>
      </c>
    </row>
    <row r="601" spans="1:26" x14ac:dyDescent="0.25">
      <c r="A601" s="25">
        <v>384776</v>
      </c>
      <c r="B601" s="25" t="s">
        <v>632</v>
      </c>
      <c r="C601" s="26">
        <v>13391</v>
      </c>
      <c r="D601" s="27">
        <v>154071821.61000001</v>
      </c>
      <c r="E601" s="27">
        <v>130097659.74000001</v>
      </c>
      <c r="F601" s="27">
        <v>23974161.870000001</v>
      </c>
      <c r="G601" s="27">
        <f>VLOOKUP(A601,'[1]saldos al 26May26'!$C$2:$I$1010,7,FALSE)</f>
        <v>-13765363.199999999</v>
      </c>
      <c r="H601" s="27"/>
      <c r="I601" s="28"/>
      <c r="J601" s="29"/>
      <c r="K601" s="25" t="s">
        <v>29</v>
      </c>
      <c r="L601" s="25" t="s">
        <v>30</v>
      </c>
      <c r="M601" s="25" t="s">
        <v>50</v>
      </c>
      <c r="N601" s="25"/>
      <c r="O601" t="s">
        <v>32</v>
      </c>
      <c r="P601" s="30">
        <v>6183242.0499999998</v>
      </c>
      <c r="Q601" s="30">
        <v>32003.43</v>
      </c>
      <c r="R601" s="30">
        <v>950000</v>
      </c>
      <c r="S601" s="30" t="s">
        <v>63</v>
      </c>
      <c r="T601" t="s">
        <v>33</v>
      </c>
      <c r="U601" s="31" t="e">
        <v>#N/A</v>
      </c>
      <c r="V601" t="s">
        <v>34</v>
      </c>
      <c r="Y601" t="e">
        <f>VLOOKUP(A601,[2]!PRGX[[#All],[Proveedor]],1,FALSE)</f>
        <v>#REF!</v>
      </c>
    </row>
    <row r="602" spans="1:26" x14ac:dyDescent="0.25">
      <c r="A602" s="25">
        <v>303439</v>
      </c>
      <c r="B602" s="25" t="s">
        <v>633</v>
      </c>
      <c r="C602" s="26">
        <v>60374</v>
      </c>
      <c r="D602" s="27">
        <v>152871600.4253</v>
      </c>
      <c r="E602" s="27">
        <v>102017647.0943</v>
      </c>
      <c r="F602" s="27">
        <v>50853953.331</v>
      </c>
      <c r="G602" s="27">
        <f>VLOOKUP(A602,'[1]saldos al 26May26'!$C$2:$I$1010,7,FALSE)</f>
        <v>-1249720.1499999999</v>
      </c>
      <c r="H602" s="27"/>
      <c r="I602" s="28"/>
      <c r="J602" s="29"/>
      <c r="K602" s="25" t="s">
        <v>29</v>
      </c>
      <c r="L602" s="25" t="s">
        <v>30</v>
      </c>
      <c r="M602" s="25" t="s">
        <v>55</v>
      </c>
      <c r="N602" s="25"/>
      <c r="O602" t="s">
        <v>80</v>
      </c>
      <c r="P602" s="32">
        <v>-65867.009999999995</v>
      </c>
      <c r="Q602" s="30">
        <v>-60438.75</v>
      </c>
      <c r="R602" s="30">
        <v>4067.16</v>
      </c>
      <c r="S602" s="30" t="s">
        <v>33</v>
      </c>
      <c r="T602" t="s">
        <v>33</v>
      </c>
      <c r="U602" s="31" t="e">
        <v>#N/A</v>
      </c>
      <c r="V602" t="s">
        <v>34</v>
      </c>
      <c r="Y602" t="e">
        <f>VLOOKUP(A602,[2]!PRGX[[#All],[Proveedor]],1,FALSE)</f>
        <v>#REF!</v>
      </c>
    </row>
    <row r="603" spans="1:26" x14ac:dyDescent="0.25">
      <c r="A603" s="25">
        <v>24844</v>
      </c>
      <c r="B603" s="25" t="s">
        <v>634</v>
      </c>
      <c r="C603" s="26">
        <v>138</v>
      </c>
      <c r="D603" s="27">
        <v>152019859.86489999</v>
      </c>
      <c r="E603" s="27">
        <v>100092552.36489999</v>
      </c>
      <c r="F603" s="27">
        <v>51927307.5</v>
      </c>
      <c r="G603" s="27">
        <f>VLOOKUP(A603,'[1]saldos al 26May26'!$C$2:$I$1010,7,FALSE)</f>
        <v>-979.5</v>
      </c>
      <c r="H603" s="27"/>
      <c r="I603" s="28"/>
      <c r="J603" s="29"/>
      <c r="K603" s="25" t="s">
        <v>29</v>
      </c>
      <c r="L603" s="25" t="s">
        <v>30</v>
      </c>
      <c r="M603" s="25" t="s">
        <v>50</v>
      </c>
      <c r="N603" s="25"/>
      <c r="O603" t="s">
        <v>67</v>
      </c>
      <c r="P603" s="32">
        <v>-257668.46</v>
      </c>
      <c r="Q603" s="30">
        <v>0</v>
      </c>
      <c r="R603" s="30"/>
      <c r="S603" s="30" t="s">
        <v>63</v>
      </c>
      <c r="T603" t="s">
        <v>33</v>
      </c>
      <c r="U603" s="31" t="e">
        <v>#N/A</v>
      </c>
      <c r="V603" t="s">
        <v>34</v>
      </c>
      <c r="Y603" t="e">
        <f>VLOOKUP(A603,[2]!PRGX[[#All],[Proveedor]],1,FALSE)</f>
        <v>#REF!</v>
      </c>
    </row>
    <row r="604" spans="1:26" x14ac:dyDescent="0.25">
      <c r="A604" s="25">
        <v>101113</v>
      </c>
      <c r="B604" s="25" t="s">
        <v>635</v>
      </c>
      <c r="C604" s="26">
        <v>27397</v>
      </c>
      <c r="D604" s="27">
        <v>151114520.43000001</v>
      </c>
      <c r="E604" s="27">
        <v>127810606.27000001</v>
      </c>
      <c r="F604" s="27">
        <v>23303914.16</v>
      </c>
      <c r="G604" s="27">
        <f>VLOOKUP(A604,'[1]saldos al 26May26'!$C$2:$I$1010,7,FALSE)</f>
        <v>-1596310.44</v>
      </c>
      <c r="H604" s="27"/>
      <c r="I604" s="28"/>
      <c r="J604" s="29">
        <v>1155107.5218757144</v>
      </c>
      <c r="K604" s="25" t="s">
        <v>40</v>
      </c>
      <c r="L604" s="25" t="s">
        <v>30</v>
      </c>
      <c r="M604" s="25" t="s">
        <v>59</v>
      </c>
      <c r="N604" s="25" t="s">
        <v>51</v>
      </c>
      <c r="O604" t="s">
        <v>51</v>
      </c>
      <c r="P604" s="32">
        <v>-353958.24</v>
      </c>
      <c r="Q604" s="30">
        <v>0</v>
      </c>
      <c r="R604" s="30">
        <v>419365.11</v>
      </c>
      <c r="S604" s="30" t="s">
        <v>63</v>
      </c>
      <c r="T604" t="s">
        <v>33</v>
      </c>
      <c r="U604" s="31" t="e">
        <v>#N/A</v>
      </c>
      <c r="V604" t="s">
        <v>34</v>
      </c>
      <c r="Y604" t="e">
        <f>VLOOKUP(A604,[2]!PRGX[[#All],[Proveedor]],1,FALSE)</f>
        <v>#REF!</v>
      </c>
    </row>
    <row r="605" spans="1:26" x14ac:dyDescent="0.25">
      <c r="A605" s="25">
        <v>30064</v>
      </c>
      <c r="B605" s="25" t="s">
        <v>636</v>
      </c>
      <c r="C605" s="26">
        <v>40720</v>
      </c>
      <c r="D605" s="27">
        <v>1795901743.3599999</v>
      </c>
      <c r="E605" s="27">
        <v>1620092354.3599999</v>
      </c>
      <c r="F605" s="27">
        <v>175809389</v>
      </c>
      <c r="G605" s="27">
        <f>VLOOKUP(A605,'[1]saldos al 26May26'!$C$2:$I$1010,7,FALSE)</f>
        <v>-18026870.170000002</v>
      </c>
      <c r="H605" s="27"/>
      <c r="I605" s="28" t="s">
        <v>27</v>
      </c>
      <c r="J605" s="29"/>
      <c r="K605" s="25" t="s">
        <v>29</v>
      </c>
      <c r="L605" s="25" t="s">
        <v>30</v>
      </c>
      <c r="M605" s="25" t="s">
        <v>59</v>
      </c>
      <c r="N605" s="25"/>
      <c r="O605" t="s">
        <v>56</v>
      </c>
      <c r="P605" s="30">
        <v>4748560.6199999992</v>
      </c>
      <c r="Q605" s="30">
        <v>-276469.76000000001</v>
      </c>
      <c r="R605" s="30">
        <v>1417368</v>
      </c>
      <c r="S605" s="30" t="s">
        <v>63</v>
      </c>
      <c r="T605" t="s">
        <v>33</v>
      </c>
      <c r="U605" s="31" t="s">
        <v>33</v>
      </c>
      <c r="V605" t="s">
        <v>33</v>
      </c>
      <c r="Y605" t="e">
        <f>VLOOKUP(A605,[2]!PRGX[[#All],[Proveedor]],1,FALSE)</f>
        <v>#REF!</v>
      </c>
      <c r="Z605">
        <v>30064</v>
      </c>
    </row>
    <row r="606" spans="1:26" x14ac:dyDescent="0.25">
      <c r="A606" s="25">
        <v>21905</v>
      </c>
      <c r="B606" s="25" t="s">
        <v>637</v>
      </c>
      <c r="C606" s="26">
        <v>587</v>
      </c>
      <c r="D606" s="27">
        <v>150633209.94600001</v>
      </c>
      <c r="E606" s="27">
        <v>116413561.94600001</v>
      </c>
      <c r="F606" s="27">
        <v>34219648</v>
      </c>
      <c r="G606" s="27">
        <f>VLOOKUP(A606,'[1]saldos al 26May26'!$C$2:$I$1010,7,FALSE)</f>
        <v>-5089900.93</v>
      </c>
      <c r="H606" s="27"/>
      <c r="I606" s="28"/>
      <c r="J606" s="29"/>
      <c r="K606" s="25" t="s">
        <v>29</v>
      </c>
      <c r="L606" s="25" t="s">
        <v>30</v>
      </c>
      <c r="M606" s="25" t="s">
        <v>50</v>
      </c>
      <c r="N606" s="25"/>
      <c r="O606" t="s">
        <v>80</v>
      </c>
      <c r="P606" s="32">
        <v>-5665388.7400000002</v>
      </c>
      <c r="Q606" s="30">
        <v>4577932.6399999997</v>
      </c>
      <c r="R606" s="30"/>
      <c r="S606" s="30" t="s">
        <v>33</v>
      </c>
      <c r="T606" t="s">
        <v>33</v>
      </c>
      <c r="U606" s="31" t="e">
        <v>#N/A</v>
      </c>
      <c r="V606" t="s">
        <v>34</v>
      </c>
      <c r="Y606" t="e">
        <f>VLOOKUP(A606,[2]!PRGX[[#All],[Proveedor]],1,FALSE)</f>
        <v>#REF!</v>
      </c>
    </row>
    <row r="607" spans="1:26" x14ac:dyDescent="0.25">
      <c r="A607" s="25">
        <v>40972</v>
      </c>
      <c r="B607" s="25" t="s">
        <v>638</v>
      </c>
      <c r="C607" s="26">
        <v>864</v>
      </c>
      <c r="D607" s="27">
        <v>150085910</v>
      </c>
      <c r="E607" s="27">
        <v>132135590</v>
      </c>
      <c r="F607" s="27">
        <v>17950320</v>
      </c>
      <c r="G607" s="27">
        <f>VLOOKUP(A607,'[1]saldos al 26May26'!$C$2:$I$1010,7,FALSE)</f>
        <v>-829163.92</v>
      </c>
      <c r="H607" s="27"/>
      <c r="I607" s="28"/>
      <c r="J607" s="29"/>
      <c r="K607" s="25" t="s">
        <v>29</v>
      </c>
      <c r="L607" s="25" t="s">
        <v>30</v>
      </c>
      <c r="M607" s="25" t="s">
        <v>55</v>
      </c>
      <c r="N607" s="25"/>
      <c r="O607" t="s">
        <v>51</v>
      </c>
      <c r="P607" s="32">
        <v>-541488</v>
      </c>
      <c r="Q607" s="30">
        <v>443806.71999999997</v>
      </c>
      <c r="R607" s="30"/>
      <c r="S607" s="30" t="s">
        <v>63</v>
      </c>
      <c r="T607" t="s">
        <v>33</v>
      </c>
      <c r="U607" s="31" t="e">
        <v>#N/A</v>
      </c>
      <c r="V607" t="s">
        <v>34</v>
      </c>
      <c r="Y607" t="e">
        <f>VLOOKUP(A607,[2]!PRGX[[#All],[Proveedor]],1,FALSE)</f>
        <v>#REF!</v>
      </c>
    </row>
    <row r="608" spans="1:26" x14ac:dyDescent="0.25">
      <c r="A608" s="25">
        <v>21260</v>
      </c>
      <c r="B608" s="25" t="s">
        <v>639</v>
      </c>
      <c r="C608" s="26">
        <v>5797</v>
      </c>
      <c r="D608" s="27">
        <v>150068566.18000001</v>
      </c>
      <c r="E608" s="27">
        <v>93096199.88000001</v>
      </c>
      <c r="F608" s="27">
        <v>56972366.299999997</v>
      </c>
      <c r="G608" s="27">
        <f>VLOOKUP(A608,'[1]saldos al 26May26'!$C$2:$I$1010,7,FALSE)</f>
        <v>-5397062.5199999996</v>
      </c>
      <c r="H608" s="27"/>
      <c r="I608" s="28"/>
      <c r="J608" s="29"/>
      <c r="K608" s="25" t="s">
        <v>29</v>
      </c>
      <c r="L608" s="25" t="s">
        <v>30</v>
      </c>
      <c r="M608" s="25" t="s">
        <v>55</v>
      </c>
      <c r="N608" s="25"/>
      <c r="O608" t="s">
        <v>32</v>
      </c>
      <c r="P608" s="32">
        <v>-432327.23</v>
      </c>
      <c r="Q608" s="30">
        <v>0</v>
      </c>
      <c r="R608" s="30">
        <v>200000</v>
      </c>
      <c r="S608" s="30" t="s">
        <v>33</v>
      </c>
      <c r="T608" t="s">
        <v>33</v>
      </c>
      <c r="U608" s="31" t="e">
        <v>#N/A</v>
      </c>
      <c r="V608" t="s">
        <v>34</v>
      </c>
      <c r="Y608" t="e">
        <f>VLOOKUP(A608,[2]!PRGX[[#All],[Proveedor]],1,FALSE)</f>
        <v>#REF!</v>
      </c>
    </row>
    <row r="609" spans="1:26" x14ac:dyDescent="0.25">
      <c r="A609" s="52">
        <v>62760</v>
      </c>
      <c r="B609" s="52" t="s">
        <v>640</v>
      </c>
      <c r="C609" s="53">
        <v>16491</v>
      </c>
      <c r="D609" s="54">
        <v>149982585</v>
      </c>
      <c r="E609" s="27">
        <v>127964787</v>
      </c>
      <c r="F609" s="27">
        <v>22017798</v>
      </c>
      <c r="G609" s="54">
        <f>VLOOKUP(A609,'[1]saldos al 26May26'!$C$2:$I$1010,7,FALSE)</f>
        <v>-1396069.12</v>
      </c>
      <c r="H609" s="54"/>
      <c r="I609" s="55"/>
      <c r="J609" s="56">
        <v>1305389.206517874</v>
      </c>
      <c r="K609" s="52" t="s">
        <v>40</v>
      </c>
      <c r="L609" s="52" t="s">
        <v>30</v>
      </c>
      <c r="M609" s="52" t="s">
        <v>59</v>
      </c>
      <c r="N609" s="52" t="s">
        <v>96</v>
      </c>
      <c r="O609" s="57" t="s">
        <v>96</v>
      </c>
      <c r="P609" s="59">
        <v>-87901.180000000008</v>
      </c>
      <c r="Q609" s="58">
        <v>0</v>
      </c>
      <c r="R609" s="30"/>
      <c r="S609" s="30" t="s">
        <v>63</v>
      </c>
      <c r="T609" s="57" t="s">
        <v>33</v>
      </c>
      <c r="U609" s="31" t="s">
        <v>33</v>
      </c>
      <c r="V609" t="s">
        <v>33</v>
      </c>
      <c r="Y609" t="e">
        <f>VLOOKUP(A609,[2]!PRGX[[#All],[Proveedor]],1,FALSE)</f>
        <v>#REF!</v>
      </c>
    </row>
    <row r="610" spans="1:26" x14ac:dyDescent="0.25">
      <c r="A610" s="25">
        <v>77750</v>
      </c>
      <c r="B610" s="25" t="s">
        <v>641</v>
      </c>
      <c r="C610" s="26">
        <v>28512</v>
      </c>
      <c r="D610" s="27">
        <v>149268181.09040001</v>
      </c>
      <c r="E610" s="27">
        <v>144716589.62</v>
      </c>
      <c r="F610" s="27">
        <v>4551591.4704</v>
      </c>
      <c r="G610" s="27">
        <f>VLOOKUP(A610,'[1]saldos al 26May26'!$C$2:$I$1010,7,FALSE)</f>
        <v>-7121656.04</v>
      </c>
      <c r="H610" s="27"/>
      <c r="I610" s="28"/>
      <c r="J610" s="29"/>
      <c r="K610" s="25" t="s">
        <v>29</v>
      </c>
      <c r="L610" s="25" t="s">
        <v>30</v>
      </c>
      <c r="M610" s="25" t="s">
        <v>31</v>
      </c>
      <c r="N610" s="25" t="s">
        <v>32</v>
      </c>
      <c r="O610" t="s">
        <v>32</v>
      </c>
      <c r="P610" s="30">
        <v>131378.99</v>
      </c>
      <c r="Q610" s="30">
        <v>282178</v>
      </c>
      <c r="R610" s="30"/>
      <c r="S610" s="30" t="s">
        <v>63</v>
      </c>
      <c r="T610" t="s">
        <v>33</v>
      </c>
      <c r="U610" s="31">
        <v>0</v>
      </c>
      <c r="V610" t="s">
        <v>42</v>
      </c>
      <c r="Y610" t="e">
        <f>VLOOKUP(A610,[2]!PRGX[[#All],[Proveedor]],1,FALSE)</f>
        <v>#REF!</v>
      </c>
    </row>
    <row r="611" spans="1:26" x14ac:dyDescent="0.25">
      <c r="A611" s="25">
        <v>7034</v>
      </c>
      <c r="B611" s="25" t="s">
        <v>642</v>
      </c>
      <c r="C611" s="26">
        <v>17251</v>
      </c>
      <c r="D611" s="27">
        <v>148852435.38</v>
      </c>
      <c r="E611" s="27">
        <v>135179223.63</v>
      </c>
      <c r="F611" s="27">
        <v>13673211.75</v>
      </c>
      <c r="G611" s="27">
        <f>VLOOKUP(A611,'[1]saldos al 26May26'!$C$2:$I$1010,7,FALSE)</f>
        <v>-665516.18999999994</v>
      </c>
      <c r="H611" s="27"/>
      <c r="I611" s="28"/>
      <c r="J611" s="29">
        <v>948399.76238507044</v>
      </c>
      <c r="K611" s="25" t="s">
        <v>40</v>
      </c>
      <c r="L611" s="25" t="s">
        <v>30</v>
      </c>
      <c r="M611" s="25" t="s">
        <v>31</v>
      </c>
      <c r="N611" s="25" t="s">
        <v>87</v>
      </c>
      <c r="O611" t="s">
        <v>87</v>
      </c>
      <c r="P611" s="32">
        <v>-845693.41</v>
      </c>
      <c r="Q611" s="30">
        <v>313006.32</v>
      </c>
      <c r="R611" s="30"/>
      <c r="S611" s="30" t="s">
        <v>63</v>
      </c>
      <c r="T611" t="s">
        <v>33</v>
      </c>
      <c r="U611" s="31" t="s">
        <v>33</v>
      </c>
      <c r="V611" t="s">
        <v>33</v>
      </c>
      <c r="W611" s="42"/>
      <c r="Y611" t="e">
        <f>VLOOKUP(A611,[2]!PRGX[[#All],[Proveedor]],1,FALSE)</f>
        <v>#REF!</v>
      </c>
    </row>
    <row r="612" spans="1:26" x14ac:dyDescent="0.25">
      <c r="A612" s="25">
        <v>76471</v>
      </c>
      <c r="B612" s="25" t="s">
        <v>643</v>
      </c>
      <c r="C612" s="26">
        <v>81589</v>
      </c>
      <c r="D612" s="27">
        <v>1581471393.6500001</v>
      </c>
      <c r="E612" s="27">
        <v>1284992241.7600002</v>
      </c>
      <c r="F612" s="27">
        <v>296479151.88999999</v>
      </c>
      <c r="G612" s="27">
        <f>VLOOKUP(A612,'[1]saldos al 26May26'!$C$2:$I$1010,7,FALSE)</f>
        <v>-76081522.390000001</v>
      </c>
      <c r="H612" s="27"/>
      <c r="I612" s="28" t="s">
        <v>27</v>
      </c>
      <c r="J612" s="29"/>
      <c r="K612" s="25" t="s">
        <v>29</v>
      </c>
      <c r="L612" s="25" t="s">
        <v>30</v>
      </c>
      <c r="M612" s="25" t="s">
        <v>31</v>
      </c>
      <c r="N612" s="25"/>
      <c r="O612" t="s">
        <v>56</v>
      </c>
      <c r="P612" s="30">
        <v>133674.42000000016</v>
      </c>
      <c r="Q612" s="30">
        <v>610334.81000000006</v>
      </c>
      <c r="R612" s="30">
        <v>2000000</v>
      </c>
      <c r="S612" s="30" t="s">
        <v>63</v>
      </c>
      <c r="T612" t="s">
        <v>33</v>
      </c>
      <c r="U612" s="31">
        <v>0</v>
      </c>
      <c r="V612" t="s">
        <v>42</v>
      </c>
      <c r="Y612" t="e">
        <f>VLOOKUP(A612,[2]!PRGX[[#All],[Proveedor]],1,FALSE)</f>
        <v>#REF!</v>
      </c>
      <c r="Z612">
        <v>76471</v>
      </c>
    </row>
    <row r="613" spans="1:26" x14ac:dyDescent="0.25">
      <c r="A613" s="52">
        <v>90399</v>
      </c>
      <c r="B613" s="52" t="s">
        <v>627</v>
      </c>
      <c r="C613" s="53">
        <v>6234</v>
      </c>
      <c r="D613" s="54">
        <v>146811359.99000001</v>
      </c>
      <c r="E613" s="27">
        <v>116063456.20000002</v>
      </c>
      <c r="F613" s="27">
        <v>30747903.789999999</v>
      </c>
      <c r="G613" s="54">
        <f>VLOOKUP(A613,'[1]saldos al 26May26'!$C$2:$I$1010,7,FALSE)</f>
        <v>-5849510.7599999998</v>
      </c>
      <c r="H613" s="54"/>
      <c r="I613" s="55"/>
      <c r="J613" s="56">
        <v>420343.54697456636</v>
      </c>
      <c r="K613" s="52" t="s">
        <v>40</v>
      </c>
      <c r="L613" s="52" t="s">
        <v>30</v>
      </c>
      <c r="M613" s="52" t="s">
        <v>50</v>
      </c>
      <c r="N613" s="52" t="s">
        <v>45</v>
      </c>
      <c r="O613" s="57" t="s">
        <v>45</v>
      </c>
      <c r="P613" s="59">
        <v>-86326.34</v>
      </c>
      <c r="Q613" s="58">
        <v>0</v>
      </c>
      <c r="R613" s="30"/>
      <c r="S613" s="30" t="e">
        <v>#N/A</v>
      </c>
      <c r="T613" s="57" t="s">
        <v>34</v>
      </c>
      <c r="U613" s="31" t="e">
        <v>#N/A</v>
      </c>
      <c r="V613" s="57" t="s">
        <v>34</v>
      </c>
      <c r="X613" t="s">
        <v>43</v>
      </c>
      <c r="Y613" t="e">
        <f>VLOOKUP(A613,[2]!PRGX[[#All],[Proveedor]],1,FALSE)</f>
        <v>#REF!</v>
      </c>
    </row>
    <row r="614" spans="1:26" x14ac:dyDescent="0.25">
      <c r="A614" s="25">
        <v>10704</v>
      </c>
      <c r="B614" s="25" t="s">
        <v>644</v>
      </c>
      <c r="C614" s="26">
        <v>5116</v>
      </c>
      <c r="D614" s="27">
        <v>146717090.50799999</v>
      </c>
      <c r="E614" s="27">
        <v>141228109.04799998</v>
      </c>
      <c r="F614" s="27">
        <v>5488981.46</v>
      </c>
      <c r="G614" s="27">
        <f>VLOOKUP(A614,'[1]saldos al 26May26'!$C$2:$I$1010,7,FALSE)</f>
        <v>-43915.49</v>
      </c>
      <c r="H614" s="27"/>
      <c r="I614" s="28"/>
      <c r="J614" s="29"/>
      <c r="K614" s="25" t="s">
        <v>29</v>
      </c>
      <c r="L614" s="25" t="s">
        <v>30</v>
      </c>
      <c r="M614" s="25" t="s">
        <v>50</v>
      </c>
      <c r="N614" s="25"/>
      <c r="O614" t="s">
        <v>80</v>
      </c>
      <c r="P614" s="30">
        <v>12485910.869999999</v>
      </c>
      <c r="Q614" s="30">
        <v>6732</v>
      </c>
      <c r="R614" s="30"/>
      <c r="S614" s="30" t="s">
        <v>33</v>
      </c>
      <c r="T614" t="s">
        <v>33</v>
      </c>
      <c r="U614" s="31" t="e">
        <v>#N/A</v>
      </c>
      <c r="V614" t="s">
        <v>34</v>
      </c>
      <c r="Y614" t="e">
        <f>VLOOKUP(A614,[2]!PRGX[[#All],[Proveedor]],1,FALSE)</f>
        <v>#REF!</v>
      </c>
    </row>
    <row r="615" spans="1:26" x14ac:dyDescent="0.25">
      <c r="A615" s="25">
        <v>12511</v>
      </c>
      <c r="B615" s="25" t="s">
        <v>645</v>
      </c>
      <c r="C615" s="26">
        <v>314</v>
      </c>
      <c r="D615" s="27">
        <v>145692160.29539999</v>
      </c>
      <c r="E615" s="27">
        <v>9219145.8400000036</v>
      </c>
      <c r="F615" s="27">
        <v>136473014.45539999</v>
      </c>
      <c r="G615" s="27">
        <f>VLOOKUP(A615,'[1]saldos al 26May26'!$C$2:$I$1010,7,FALSE)</f>
        <v>-9074656.9100000001</v>
      </c>
      <c r="H615" s="27"/>
      <c r="I615" s="28"/>
      <c r="J615" s="29"/>
      <c r="K615" s="25" t="s">
        <v>40</v>
      </c>
      <c r="L615" s="25" t="s">
        <v>30</v>
      </c>
      <c r="M615" s="25" t="s">
        <v>50</v>
      </c>
      <c r="N615" s="25" t="s">
        <v>67</v>
      </c>
      <c r="O615" t="s">
        <v>67</v>
      </c>
      <c r="P615" s="30">
        <v>0</v>
      </c>
      <c r="Q615" s="30">
        <v>0</v>
      </c>
      <c r="R615" s="30"/>
      <c r="S615" s="30" t="e">
        <v>#N/A</v>
      </c>
      <c r="T615" t="s">
        <v>34</v>
      </c>
      <c r="U615" s="31" t="e">
        <v>#N/A</v>
      </c>
      <c r="V615" t="s">
        <v>34</v>
      </c>
      <c r="Y615" t="e">
        <f>VLOOKUP(A615,[2]!PRGX[[#All],[Proveedor]],1,FALSE)</f>
        <v>#REF!</v>
      </c>
    </row>
    <row r="616" spans="1:26" x14ac:dyDescent="0.25">
      <c r="A616" s="52">
        <v>3774</v>
      </c>
      <c r="B616" s="52" t="s">
        <v>646</v>
      </c>
      <c r="C616" s="53">
        <v>6233</v>
      </c>
      <c r="D616" s="54">
        <v>144130390.24000001</v>
      </c>
      <c r="E616" s="27">
        <v>122807764.24000001</v>
      </c>
      <c r="F616" s="27">
        <v>21322626</v>
      </c>
      <c r="G616" s="54">
        <f>VLOOKUP(A616,'[1]saldos al 26May26'!$C$2:$I$1010,7,FALSE)</f>
        <v>-3409493.78</v>
      </c>
      <c r="H616" s="54"/>
      <c r="I616" s="55"/>
      <c r="J616" s="56">
        <v>283975.1528721705</v>
      </c>
      <c r="K616" s="52" t="s">
        <v>40</v>
      </c>
      <c r="L616" s="52" t="s">
        <v>30</v>
      </c>
      <c r="M616" s="52" t="s">
        <v>31</v>
      </c>
      <c r="N616" s="52" t="s">
        <v>67</v>
      </c>
      <c r="O616" s="57" t="s">
        <v>67</v>
      </c>
      <c r="P616" s="59">
        <v>-205806</v>
      </c>
      <c r="Q616" s="58">
        <v>0</v>
      </c>
      <c r="R616" s="30"/>
      <c r="S616" s="30" t="e">
        <v>#N/A</v>
      </c>
      <c r="T616" s="57" t="s">
        <v>34</v>
      </c>
      <c r="U616" s="31">
        <v>0</v>
      </c>
      <c r="V616" s="57" t="s">
        <v>42</v>
      </c>
      <c r="X616" t="s">
        <v>43</v>
      </c>
      <c r="Y616" t="e">
        <f>VLOOKUP(A616,[2]!PRGX[[#All],[Proveedor]],1,FALSE)</f>
        <v>#REF!</v>
      </c>
    </row>
    <row r="617" spans="1:26" x14ac:dyDescent="0.25">
      <c r="A617" s="25">
        <v>7546</v>
      </c>
      <c r="B617" s="25" t="s">
        <v>647</v>
      </c>
      <c r="C617" s="26">
        <v>57980</v>
      </c>
      <c r="D617" s="27">
        <v>143627616.43000001</v>
      </c>
      <c r="E617" s="27">
        <v>135124283.11000001</v>
      </c>
      <c r="F617" s="27">
        <v>8503333.3200000003</v>
      </c>
      <c r="G617" s="27">
        <f>VLOOKUP(A617,'[1]saldos al 26May26'!$C$2:$I$1010,7,FALSE)</f>
        <v>-1637623.48</v>
      </c>
      <c r="H617" s="27"/>
      <c r="I617" s="28"/>
      <c r="J617" s="29"/>
      <c r="K617" s="25" t="s">
        <v>29</v>
      </c>
      <c r="L617" s="25" t="s">
        <v>30</v>
      </c>
      <c r="M617" s="25" t="s">
        <v>50</v>
      </c>
      <c r="N617" s="25"/>
      <c r="O617" t="s">
        <v>32</v>
      </c>
      <c r="P617" s="32">
        <v>-610606.73</v>
      </c>
      <c r="Q617" s="30">
        <v>-16587.2</v>
      </c>
      <c r="R617" s="30"/>
      <c r="S617" s="30" t="s">
        <v>33</v>
      </c>
      <c r="T617" t="s">
        <v>33</v>
      </c>
      <c r="U617" s="31" t="e">
        <v>#N/A</v>
      </c>
      <c r="V617" t="s">
        <v>34</v>
      </c>
      <c r="Y617" t="e">
        <f>VLOOKUP(A617,[2]!PRGX[[#All],[Proveedor]],1,FALSE)</f>
        <v>#REF!</v>
      </c>
    </row>
    <row r="618" spans="1:26" x14ac:dyDescent="0.25">
      <c r="A618" s="25">
        <v>309401</v>
      </c>
      <c r="B618" s="25" t="s">
        <v>648</v>
      </c>
      <c r="C618" s="26">
        <v>18316</v>
      </c>
      <c r="D618" s="27">
        <v>143463051.91999999</v>
      </c>
      <c r="E618" s="27">
        <v>119798146.30999999</v>
      </c>
      <c r="F618" s="27">
        <v>23664905.609999999</v>
      </c>
      <c r="G618" s="27">
        <f>VLOOKUP(A618,'[1]saldos al 26May26'!$C$2:$I$1010,7,FALSE)</f>
        <v>-5221650.24</v>
      </c>
      <c r="H618" s="27"/>
      <c r="I618" s="28"/>
      <c r="J618" s="29"/>
      <c r="K618" s="25" t="s">
        <v>29</v>
      </c>
      <c r="L618" s="25" t="s">
        <v>30</v>
      </c>
      <c r="M618" s="25" t="s">
        <v>55</v>
      </c>
      <c r="N618" s="25"/>
      <c r="O618" t="s">
        <v>70</v>
      </c>
      <c r="P618" s="32">
        <v>-899875.51</v>
      </c>
      <c r="Q618" s="30">
        <v>-17608.32</v>
      </c>
      <c r="R618" s="30"/>
      <c r="S618" s="30" t="s">
        <v>63</v>
      </c>
      <c r="T618" t="s">
        <v>33</v>
      </c>
      <c r="U618" s="31" t="e">
        <v>#N/A</v>
      </c>
      <c r="V618" t="s">
        <v>34</v>
      </c>
      <c r="Y618" t="e">
        <f>VLOOKUP(A618,[2]!PRGX[[#All],[Proveedor]],1,FALSE)</f>
        <v>#REF!</v>
      </c>
    </row>
    <row r="619" spans="1:26" x14ac:dyDescent="0.25">
      <c r="A619" s="25">
        <v>379610</v>
      </c>
      <c r="B619" s="25" t="s">
        <v>649</v>
      </c>
      <c r="C619" s="26">
        <v>112777</v>
      </c>
      <c r="D619" s="27">
        <v>143289902.81</v>
      </c>
      <c r="E619" s="27">
        <v>109711980.18000001</v>
      </c>
      <c r="F619" s="27">
        <v>33577922.630000003</v>
      </c>
      <c r="G619" s="27">
        <f>VLOOKUP(A619,'[1]saldos al 26May26'!$C$2:$I$1010,7,FALSE)</f>
        <v>-4757843.2699999996</v>
      </c>
      <c r="H619" s="27"/>
      <c r="I619" s="28"/>
      <c r="J619" s="29"/>
      <c r="K619" s="25" t="s">
        <v>29</v>
      </c>
      <c r="L619" s="25" t="s">
        <v>30</v>
      </c>
      <c r="M619" s="25" t="s">
        <v>50</v>
      </c>
      <c r="N619" s="25"/>
      <c r="O619" t="s">
        <v>38</v>
      </c>
      <c r="P619" s="32">
        <v>-634475.33999999985</v>
      </c>
      <c r="Q619" s="30">
        <v>910179.61</v>
      </c>
      <c r="R619" s="30"/>
      <c r="S619" s="30" t="s">
        <v>33</v>
      </c>
      <c r="T619" t="s">
        <v>33</v>
      </c>
      <c r="U619" s="31" t="s">
        <v>33</v>
      </c>
      <c r="V619" t="s">
        <v>33</v>
      </c>
      <c r="Y619" t="e">
        <f>VLOOKUP(A619,[2]!PRGX[[#All],[Proveedor]],1,FALSE)</f>
        <v>#REF!</v>
      </c>
      <c r="Z619">
        <v>379610</v>
      </c>
    </row>
    <row r="620" spans="1:26" x14ac:dyDescent="0.25">
      <c r="A620" s="52">
        <v>466</v>
      </c>
      <c r="B620" s="52" t="s">
        <v>650</v>
      </c>
      <c r="C620" s="53">
        <v>22209</v>
      </c>
      <c r="D620" s="54">
        <v>141185841.23930001</v>
      </c>
      <c r="E620" s="27">
        <v>108531912.36600001</v>
      </c>
      <c r="F620" s="27">
        <v>32653928.873300001</v>
      </c>
      <c r="G620" s="54">
        <f>VLOOKUP(A620,'[1]saldos al 26May26'!$C$2:$I$1010,7,FALSE)</f>
        <v>-3775972.2</v>
      </c>
      <c r="H620" s="54"/>
      <c r="I620" s="55"/>
      <c r="J620" s="56">
        <v>369618.51166669303</v>
      </c>
      <c r="K620" s="52" t="s">
        <v>29</v>
      </c>
      <c r="L620" s="52" t="s">
        <v>30</v>
      </c>
      <c r="M620" s="52" t="s">
        <v>50</v>
      </c>
      <c r="N620" s="52" t="s">
        <v>67</v>
      </c>
      <c r="O620" s="57" t="s">
        <v>67</v>
      </c>
      <c r="P620" s="59">
        <v>-5011893.46</v>
      </c>
      <c r="Q620" s="58">
        <v>1929872.02</v>
      </c>
      <c r="R620" s="30">
        <v>43494</v>
      </c>
      <c r="S620" s="30" t="s">
        <v>63</v>
      </c>
      <c r="T620" s="57" t="s">
        <v>33</v>
      </c>
      <c r="U620" s="31">
        <v>0</v>
      </c>
      <c r="V620" s="57" t="s">
        <v>42</v>
      </c>
      <c r="Y620" t="e">
        <f>VLOOKUP(A620,[2]!PRGX[[#All],[Proveedor]],1,FALSE)</f>
        <v>#REF!</v>
      </c>
    </row>
    <row r="621" spans="1:26" x14ac:dyDescent="0.25">
      <c r="A621" s="25">
        <v>14833</v>
      </c>
      <c r="B621" s="25" t="s">
        <v>651</v>
      </c>
      <c r="C621" s="26">
        <v>30687</v>
      </c>
      <c r="D621" s="27">
        <v>141035810.31999999</v>
      </c>
      <c r="E621" s="27">
        <v>122790462.28999999</v>
      </c>
      <c r="F621" s="27">
        <v>18245348.030000001</v>
      </c>
      <c r="G621" s="27">
        <f>VLOOKUP(A621,'[1]saldos al 26May26'!$C$2:$I$1010,7,FALSE)</f>
        <v>-3357556.08</v>
      </c>
      <c r="H621" s="27"/>
      <c r="I621" s="28"/>
      <c r="J621" s="29"/>
      <c r="K621" s="25" t="s">
        <v>29</v>
      </c>
      <c r="L621" s="25" t="s">
        <v>30</v>
      </c>
      <c r="M621" s="25" t="s">
        <v>50</v>
      </c>
      <c r="N621" s="25"/>
      <c r="O621" t="s">
        <v>80</v>
      </c>
      <c r="P621" s="32">
        <v>-142650.34999999998</v>
      </c>
      <c r="Q621" s="30">
        <v>0</v>
      </c>
      <c r="R621" s="30">
        <v>874357.94</v>
      </c>
      <c r="S621" s="30" t="s">
        <v>63</v>
      </c>
      <c r="T621" t="s">
        <v>33</v>
      </c>
      <c r="U621" s="31" t="e">
        <v>#N/A</v>
      </c>
      <c r="V621" t="s">
        <v>34</v>
      </c>
      <c r="Y621" t="e">
        <f>VLOOKUP(A621,[2]!PRGX[[#All],[Proveedor]],1,FALSE)</f>
        <v>#REF!</v>
      </c>
    </row>
    <row r="622" spans="1:26" x14ac:dyDescent="0.25">
      <c r="A622" s="25">
        <v>28688</v>
      </c>
      <c r="B622" s="25" t="s">
        <v>652</v>
      </c>
      <c r="C622" s="26">
        <v>9442</v>
      </c>
      <c r="D622" s="27">
        <v>140626204.70100001</v>
      </c>
      <c r="E622" s="27">
        <v>106393194.391</v>
      </c>
      <c r="F622" s="27">
        <v>34233010.310000002</v>
      </c>
      <c r="G622" s="27">
        <f>VLOOKUP(A622,'[1]saldos al 26May26'!$C$2:$I$1010,7,FALSE)</f>
        <v>-917118.13</v>
      </c>
      <c r="H622" s="27"/>
      <c r="I622" s="28"/>
      <c r="J622" s="29"/>
      <c r="K622" s="25" t="s">
        <v>29</v>
      </c>
      <c r="L622" s="25" t="s">
        <v>30</v>
      </c>
      <c r="M622" s="25" t="s">
        <v>50</v>
      </c>
      <c r="N622" s="25"/>
      <c r="O622" t="s">
        <v>70</v>
      </c>
      <c r="P622" s="32">
        <v>-63059.7</v>
      </c>
      <c r="Q622" s="30">
        <v>1176233</v>
      </c>
      <c r="R622" s="30"/>
      <c r="S622" s="30" t="s">
        <v>33</v>
      </c>
      <c r="T622" t="s">
        <v>33</v>
      </c>
      <c r="U622" s="31" t="e">
        <v>#N/A</v>
      </c>
      <c r="V622" t="s">
        <v>34</v>
      </c>
      <c r="Y622" t="e">
        <f>VLOOKUP(A622,[2]!PRGX[[#All],[Proveedor]],1,FALSE)</f>
        <v>#REF!</v>
      </c>
    </row>
    <row r="623" spans="1:26" x14ac:dyDescent="0.25">
      <c r="A623" s="25">
        <v>308957</v>
      </c>
      <c r="B623" s="25" t="s">
        <v>653</v>
      </c>
      <c r="C623" s="26">
        <v>306</v>
      </c>
      <c r="D623" s="27">
        <v>140264565.5</v>
      </c>
      <c r="E623" s="27">
        <v>73631383</v>
      </c>
      <c r="F623" s="27">
        <v>66633182.5</v>
      </c>
      <c r="G623" s="27">
        <f>VLOOKUP(A623,'[1]saldos al 26May26'!$C$2:$I$1010,7,FALSE)</f>
        <v>0</v>
      </c>
      <c r="H623" s="39" t="s">
        <v>54</v>
      </c>
      <c r="I623" s="28"/>
      <c r="J623" s="29"/>
      <c r="K623" s="25" t="s">
        <v>40</v>
      </c>
      <c r="L623" s="25" t="s">
        <v>30</v>
      </c>
      <c r="M623" s="25" t="s">
        <v>55</v>
      </c>
      <c r="N623" s="25" t="s">
        <v>38</v>
      </c>
      <c r="O623" t="s">
        <v>38</v>
      </c>
      <c r="P623" s="30">
        <v>76499</v>
      </c>
      <c r="Q623" s="30">
        <v>0</v>
      </c>
      <c r="R623" s="30"/>
      <c r="S623" s="30" t="s">
        <v>63</v>
      </c>
      <c r="T623" s="57" t="s">
        <v>33</v>
      </c>
      <c r="U623" s="31" t="s">
        <v>33</v>
      </c>
      <c r="V623" t="s">
        <v>33</v>
      </c>
      <c r="Y623" t="e">
        <f>VLOOKUP(A623,[2]!PRGX[[#All],[Proveedor]],1,FALSE)</f>
        <v>#REF!</v>
      </c>
    </row>
    <row r="624" spans="1:26" x14ac:dyDescent="0.25">
      <c r="A624" s="52">
        <v>384552</v>
      </c>
      <c r="B624" s="52" t="s">
        <v>375</v>
      </c>
      <c r="C624" s="53">
        <v>20491</v>
      </c>
      <c r="D624" s="54">
        <v>140154353</v>
      </c>
      <c r="E624" s="27">
        <v>115110685</v>
      </c>
      <c r="F624" s="27">
        <v>25043668</v>
      </c>
      <c r="G624" s="54">
        <f>VLOOKUP(A624,'[1]saldos al 26May26'!$C$2:$I$1010,7,FALSE)</f>
        <v>-8340525.8799999999</v>
      </c>
      <c r="H624" s="54"/>
      <c r="I624" s="55"/>
      <c r="J624" s="56">
        <v>1078512.7333707321</v>
      </c>
      <c r="K624" s="52" t="s">
        <v>40</v>
      </c>
      <c r="L624" s="52" t="s">
        <v>30</v>
      </c>
      <c r="M624" s="52" t="s">
        <v>59</v>
      </c>
      <c r="N624" s="52" t="s">
        <v>96</v>
      </c>
      <c r="O624" s="57" t="s">
        <v>96</v>
      </c>
      <c r="P624" s="58">
        <v>341740.64</v>
      </c>
      <c r="Q624" s="58">
        <v>13196.16</v>
      </c>
      <c r="R624" s="30"/>
      <c r="S624" s="30">
        <v>0</v>
      </c>
      <c r="T624" s="57" t="s">
        <v>42</v>
      </c>
      <c r="U624" s="31">
        <v>0</v>
      </c>
      <c r="V624" s="57" t="s">
        <v>34</v>
      </c>
      <c r="X624" t="s">
        <v>43</v>
      </c>
      <c r="Y624" t="e">
        <f>VLOOKUP(A624,[2]!PRGX[[#All],[Proveedor]],1,FALSE)</f>
        <v>#REF!</v>
      </c>
    </row>
    <row r="625" spans="1:25" x14ac:dyDescent="0.25">
      <c r="A625" s="25">
        <v>17806</v>
      </c>
      <c r="B625" s="25" t="s">
        <v>654</v>
      </c>
      <c r="C625" s="26">
        <v>3284</v>
      </c>
      <c r="D625" s="27">
        <v>139424262.49919999</v>
      </c>
      <c r="E625" s="27">
        <v>117335203.56919998</v>
      </c>
      <c r="F625" s="27">
        <v>22089058.93</v>
      </c>
      <c r="G625" s="27">
        <f>VLOOKUP(A625,'[1]saldos al 26May26'!$C$2:$I$1010,7,FALSE)</f>
        <v>-975801.44</v>
      </c>
      <c r="H625" s="27"/>
      <c r="I625" s="28"/>
      <c r="J625" s="29"/>
      <c r="K625" s="25" t="s">
        <v>29</v>
      </c>
      <c r="L625" s="25" t="s">
        <v>30</v>
      </c>
      <c r="M625" s="25" t="s">
        <v>55</v>
      </c>
      <c r="N625" s="25"/>
      <c r="O625" t="s">
        <v>32</v>
      </c>
      <c r="P625" s="32">
        <v>-917575.1</v>
      </c>
      <c r="Q625" s="30">
        <v>0</v>
      </c>
      <c r="R625" s="30"/>
      <c r="S625" s="30" t="s">
        <v>63</v>
      </c>
      <c r="T625" t="s">
        <v>33</v>
      </c>
      <c r="U625" s="31" t="e">
        <v>#N/A</v>
      </c>
      <c r="V625" t="s">
        <v>34</v>
      </c>
      <c r="Y625" t="e">
        <f>VLOOKUP(A625,[2]!PRGX[[#All],[Proveedor]],1,FALSE)</f>
        <v>#REF!</v>
      </c>
    </row>
    <row r="626" spans="1:25" x14ac:dyDescent="0.25">
      <c r="A626" s="52">
        <v>3806</v>
      </c>
      <c r="B626" s="52" t="s">
        <v>655</v>
      </c>
      <c r="C626" s="53">
        <v>37188</v>
      </c>
      <c r="D626" s="54">
        <v>138634298.47</v>
      </c>
      <c r="E626" s="27">
        <v>118276293.95</v>
      </c>
      <c r="F626" s="27">
        <v>20358004.52</v>
      </c>
      <c r="G626" s="54">
        <f>VLOOKUP(A626,'[1]saldos al 26May26'!$C$2:$I$1010,7,FALSE)</f>
        <v>-8744668.1799999997</v>
      </c>
      <c r="H626" s="54"/>
      <c r="I626" s="55"/>
      <c r="J626" s="56">
        <v>871716.23557006801</v>
      </c>
      <c r="K626" s="52" t="s">
        <v>40</v>
      </c>
      <c r="L626" s="52" t="s">
        <v>30</v>
      </c>
      <c r="M626" s="52" t="s">
        <v>59</v>
      </c>
      <c r="N626" s="52" t="s">
        <v>41</v>
      </c>
      <c r="O626" s="57" t="s">
        <v>41</v>
      </c>
      <c r="P626" s="59">
        <v>-254671.62</v>
      </c>
      <c r="Q626" s="58">
        <v>112592.76</v>
      </c>
      <c r="R626" s="30"/>
      <c r="S626" s="30" t="s">
        <v>63</v>
      </c>
      <c r="T626" s="57" t="s">
        <v>33</v>
      </c>
      <c r="U626" s="31" t="s">
        <v>33</v>
      </c>
      <c r="V626" t="s">
        <v>33</v>
      </c>
      <c r="Y626" t="e">
        <f>VLOOKUP(A626,[2]!PRGX[[#All],[Proveedor]],1,FALSE)</f>
        <v>#REF!</v>
      </c>
    </row>
    <row r="627" spans="1:25" x14ac:dyDescent="0.25">
      <c r="A627" s="25">
        <v>79087</v>
      </c>
      <c r="B627" s="25" t="s">
        <v>656</v>
      </c>
      <c r="C627" s="26">
        <v>6191</v>
      </c>
      <c r="D627" s="27">
        <v>138415994.81999999</v>
      </c>
      <c r="E627" s="27">
        <v>94472490.849999994</v>
      </c>
      <c r="F627" s="27">
        <v>43943503.969999999</v>
      </c>
      <c r="G627" s="27">
        <f>VLOOKUP(A627,'[1]saldos al 26May26'!$C$2:$I$1010,7,FALSE)</f>
        <v>-4388662.59</v>
      </c>
      <c r="H627" s="27"/>
      <c r="I627" s="28"/>
      <c r="J627" s="29"/>
      <c r="K627" s="25" t="s">
        <v>29</v>
      </c>
      <c r="L627" s="25" t="s">
        <v>30</v>
      </c>
      <c r="M627" s="25" t="s">
        <v>50</v>
      </c>
      <c r="N627" s="25"/>
      <c r="O627" t="s">
        <v>87</v>
      </c>
      <c r="P627" s="32">
        <v>-883299.23</v>
      </c>
      <c r="Q627" s="30">
        <v>0</v>
      </c>
      <c r="R627" s="30">
        <v>45809.83</v>
      </c>
      <c r="S627" s="30" t="s">
        <v>63</v>
      </c>
      <c r="T627" t="s">
        <v>33</v>
      </c>
      <c r="U627" s="31" t="e">
        <v>#N/A</v>
      </c>
      <c r="V627" t="s">
        <v>34</v>
      </c>
      <c r="Y627" t="e">
        <f>VLOOKUP(A627,[2]!PRGX[[#All],[Proveedor]],1,FALSE)</f>
        <v>#REF!</v>
      </c>
    </row>
    <row r="628" spans="1:25" x14ac:dyDescent="0.25">
      <c r="A628" s="25">
        <v>27011</v>
      </c>
      <c r="B628" s="25" t="s">
        <v>657</v>
      </c>
      <c r="C628" s="26">
        <v>23572</v>
      </c>
      <c r="D628" s="27">
        <v>138101942.83000001</v>
      </c>
      <c r="E628" s="27">
        <v>112620469.91000001</v>
      </c>
      <c r="F628" s="27">
        <v>25481472.920000002</v>
      </c>
      <c r="G628" s="27">
        <f>VLOOKUP(A628,'[1]saldos al 26May26'!$C$2:$I$1010,7,FALSE)</f>
        <v>-1545174.65</v>
      </c>
      <c r="H628" s="27"/>
      <c r="I628" s="28"/>
      <c r="J628" s="29">
        <v>262665.16645873251</v>
      </c>
      <c r="K628" s="25" t="s">
        <v>40</v>
      </c>
      <c r="L628" s="25" t="s">
        <v>30</v>
      </c>
      <c r="M628" s="25" t="s">
        <v>31</v>
      </c>
      <c r="N628" s="25" t="s">
        <v>87</v>
      </c>
      <c r="O628" t="s">
        <v>87</v>
      </c>
      <c r="P628" s="32">
        <v>-756866.69</v>
      </c>
      <c r="Q628" s="30">
        <v>158388.74</v>
      </c>
      <c r="R628" s="30"/>
      <c r="S628" s="30">
        <v>0</v>
      </c>
      <c r="T628" t="s">
        <v>42</v>
      </c>
      <c r="U628" s="31">
        <v>0</v>
      </c>
      <c r="V628" t="s">
        <v>34</v>
      </c>
      <c r="Y628" t="e">
        <f>VLOOKUP(A628,[2]!PRGX[[#All],[Proveedor]],1,FALSE)</f>
        <v>#REF!</v>
      </c>
    </row>
    <row r="629" spans="1:25" x14ac:dyDescent="0.25">
      <c r="A629" s="25">
        <v>11784</v>
      </c>
      <c r="B629" s="25" t="s">
        <v>658</v>
      </c>
      <c r="C629" s="26">
        <v>9720</v>
      </c>
      <c r="D629" s="27">
        <v>137958222.47</v>
      </c>
      <c r="E629" s="27">
        <v>125608796.98999999</v>
      </c>
      <c r="F629" s="27">
        <v>12349425.48</v>
      </c>
      <c r="G629" s="27">
        <f>VLOOKUP(A629,'[1]saldos al 26May26'!$C$2:$I$1010,7,FALSE)</f>
        <v>-3128944.34</v>
      </c>
      <c r="H629" s="27"/>
      <c r="I629" s="28"/>
      <c r="J629" s="29"/>
      <c r="K629" s="25" t="s">
        <v>29</v>
      </c>
      <c r="L629" s="25" t="s">
        <v>30</v>
      </c>
      <c r="M629" s="25" t="s">
        <v>50</v>
      </c>
      <c r="N629" s="25"/>
      <c r="O629" t="s">
        <v>36</v>
      </c>
      <c r="P629" s="32">
        <v>-582638.30999999994</v>
      </c>
      <c r="Q629" s="30">
        <v>0</v>
      </c>
      <c r="R629" s="30"/>
      <c r="S629" s="30" t="s">
        <v>33</v>
      </c>
      <c r="T629" t="s">
        <v>33</v>
      </c>
      <c r="U629" s="31" t="e">
        <v>#N/A</v>
      </c>
      <c r="V629" t="s">
        <v>34</v>
      </c>
      <c r="Y629" t="e">
        <f>VLOOKUP(A629,[2]!PRGX[[#All],[Proveedor]],1,FALSE)</f>
        <v>#REF!</v>
      </c>
    </row>
    <row r="630" spans="1:25" x14ac:dyDescent="0.25">
      <c r="A630" s="25">
        <v>16006</v>
      </c>
      <c r="B630" s="25" t="s">
        <v>659</v>
      </c>
      <c r="C630" s="26">
        <v>12551</v>
      </c>
      <c r="D630" s="27">
        <v>137930084.19999999</v>
      </c>
      <c r="E630" s="27">
        <v>109549490.05999999</v>
      </c>
      <c r="F630" s="27">
        <v>28380594.140000001</v>
      </c>
      <c r="G630" s="27">
        <f>VLOOKUP(A630,'[1]saldos al 26May26'!$C$2:$I$1010,7,FALSE)</f>
        <v>-2438931.4500000002</v>
      </c>
      <c r="H630" s="27"/>
      <c r="I630" s="28"/>
      <c r="J630" s="29">
        <v>1584401.0057057545</v>
      </c>
      <c r="K630" s="25" t="s">
        <v>40</v>
      </c>
      <c r="L630" s="25" t="s">
        <v>30</v>
      </c>
      <c r="M630" s="25" t="s">
        <v>59</v>
      </c>
      <c r="N630" s="25" t="s">
        <v>47</v>
      </c>
      <c r="O630" t="s">
        <v>47</v>
      </c>
      <c r="P630" s="32">
        <v>-961546.14999999991</v>
      </c>
      <c r="Q630" s="30">
        <v>0</v>
      </c>
      <c r="R630" s="30"/>
      <c r="S630" s="30" t="s">
        <v>63</v>
      </c>
      <c r="T630" t="s">
        <v>33</v>
      </c>
      <c r="U630" s="31" t="s">
        <v>33</v>
      </c>
      <c r="V630" t="s">
        <v>33</v>
      </c>
      <c r="Y630" t="e">
        <f>VLOOKUP(A630,[2]!PRGX[[#All],[Proveedor]],1,FALSE)</f>
        <v>#REF!</v>
      </c>
    </row>
    <row r="631" spans="1:25" x14ac:dyDescent="0.25">
      <c r="A631" s="25">
        <v>303452</v>
      </c>
      <c r="B631" s="25" t="s">
        <v>660</v>
      </c>
      <c r="C631" s="26">
        <v>4553</v>
      </c>
      <c r="D631" s="27">
        <v>137769461.99399999</v>
      </c>
      <c r="E631" s="27">
        <v>120600762.33099999</v>
      </c>
      <c r="F631" s="27">
        <v>17168699.662999999</v>
      </c>
      <c r="G631" s="27">
        <f>VLOOKUP(A631,'[1]saldos al 26May26'!$C$2:$I$1010,7,FALSE)</f>
        <v>-630190.89</v>
      </c>
      <c r="H631" s="27"/>
      <c r="I631" s="28"/>
      <c r="J631" s="29"/>
      <c r="K631" s="25" t="s">
        <v>29</v>
      </c>
      <c r="L631" s="25" t="s">
        <v>30</v>
      </c>
      <c r="M631" s="25" t="s">
        <v>50</v>
      </c>
      <c r="N631" s="25"/>
      <c r="O631" t="s">
        <v>80</v>
      </c>
      <c r="P631" s="30">
        <v>29185.439999999995</v>
      </c>
      <c r="Q631" s="30">
        <v>676562.07</v>
      </c>
      <c r="R631" s="30"/>
      <c r="S631" s="30" t="s">
        <v>33</v>
      </c>
      <c r="T631" t="s">
        <v>33</v>
      </c>
      <c r="U631" s="31" t="e">
        <v>#N/A</v>
      </c>
      <c r="V631" t="s">
        <v>34</v>
      </c>
      <c r="Y631" t="e">
        <f>VLOOKUP(A631,[2]!PRGX[[#All],[Proveedor]],1,FALSE)</f>
        <v>#REF!</v>
      </c>
    </row>
    <row r="632" spans="1:25" x14ac:dyDescent="0.25">
      <c r="A632" s="25">
        <v>21597</v>
      </c>
      <c r="B632" s="25" t="s">
        <v>661</v>
      </c>
      <c r="C632" s="26">
        <v>19155</v>
      </c>
      <c r="D632" s="27">
        <v>137609006.80860001</v>
      </c>
      <c r="E632" s="27">
        <v>107915527.58240001</v>
      </c>
      <c r="F632" s="27">
        <v>29693479.226199999</v>
      </c>
      <c r="G632" s="27">
        <f>VLOOKUP(A632,'[1]saldos al 26May26'!$C$2:$I$1010,7,FALSE)</f>
        <v>-2230827.11</v>
      </c>
      <c r="H632" s="27"/>
      <c r="I632" s="28"/>
      <c r="J632" s="29"/>
      <c r="K632" s="25" t="s">
        <v>29</v>
      </c>
      <c r="L632" s="25" t="s">
        <v>30</v>
      </c>
      <c r="M632" s="25" t="s">
        <v>55</v>
      </c>
      <c r="N632" s="25"/>
      <c r="O632" t="s">
        <v>32</v>
      </c>
      <c r="P632" s="32">
        <v>-875826.10000000009</v>
      </c>
      <c r="Q632" s="30">
        <v>0</v>
      </c>
      <c r="R632" s="30">
        <v>130000</v>
      </c>
      <c r="S632" s="30" t="s">
        <v>63</v>
      </c>
      <c r="T632" t="s">
        <v>33</v>
      </c>
      <c r="U632" s="31" t="e">
        <v>#N/A</v>
      </c>
      <c r="V632" t="s">
        <v>34</v>
      </c>
      <c r="Y632" t="e">
        <f>VLOOKUP(A632,[2]!PRGX[[#All],[Proveedor]],1,FALSE)</f>
        <v>#REF!</v>
      </c>
    </row>
    <row r="633" spans="1:25" x14ac:dyDescent="0.25">
      <c r="A633" s="25">
        <v>36137</v>
      </c>
      <c r="B633" s="25" t="s">
        <v>662</v>
      </c>
      <c r="C633" s="26">
        <v>15480</v>
      </c>
      <c r="D633" s="27">
        <v>137412701.28</v>
      </c>
      <c r="E633" s="27">
        <v>119516816.44</v>
      </c>
      <c r="F633" s="27">
        <v>17895884.84</v>
      </c>
      <c r="G633" s="27">
        <f>VLOOKUP(A633,'[1]saldos al 26May26'!$C$2:$I$1010,7,FALSE)</f>
        <v>54465.18</v>
      </c>
      <c r="H633" s="39" t="s">
        <v>54</v>
      </c>
      <c r="I633" s="28"/>
      <c r="J633" s="29">
        <v>7709.6154098039988</v>
      </c>
      <c r="K633" s="25" t="s">
        <v>29</v>
      </c>
      <c r="L633" s="25" t="s">
        <v>30</v>
      </c>
      <c r="M633" s="25" t="s">
        <v>55</v>
      </c>
      <c r="N633" s="25"/>
      <c r="O633" t="s">
        <v>80</v>
      </c>
      <c r="P633" s="30">
        <v>427848.28</v>
      </c>
      <c r="Q633" s="30">
        <v>427928.32000000001</v>
      </c>
      <c r="R633" s="30"/>
      <c r="S633" s="30" t="s">
        <v>63</v>
      </c>
      <c r="T633" t="s">
        <v>33</v>
      </c>
      <c r="U633" s="31" t="e">
        <v>#N/A</v>
      </c>
      <c r="V633" t="s">
        <v>34</v>
      </c>
      <c r="Y633" t="e">
        <f>VLOOKUP(A633,[2]!PRGX[[#All],[Proveedor]],1,FALSE)</f>
        <v>#REF!</v>
      </c>
    </row>
    <row r="634" spans="1:25" x14ac:dyDescent="0.25">
      <c r="A634" s="25">
        <v>97741</v>
      </c>
      <c r="B634" s="25" t="s">
        <v>663</v>
      </c>
      <c r="C634" s="26">
        <v>40716</v>
      </c>
      <c r="D634" s="27">
        <v>136962926.34999999</v>
      </c>
      <c r="E634" s="27">
        <v>111761309.31</v>
      </c>
      <c r="F634" s="27">
        <v>25201617.039999999</v>
      </c>
      <c r="G634" s="27">
        <f>VLOOKUP(A634,'[1]saldos al 26May26'!$C$2:$I$1010,7,FALSE)</f>
        <v>-3475985.95</v>
      </c>
      <c r="H634" s="27"/>
      <c r="I634" s="28"/>
      <c r="J634" s="29">
        <v>617142.30139675003</v>
      </c>
      <c r="K634" s="25" t="s">
        <v>40</v>
      </c>
      <c r="L634" s="25" t="s">
        <v>30</v>
      </c>
      <c r="M634" s="25" t="s">
        <v>59</v>
      </c>
      <c r="N634" s="25" t="s">
        <v>51</v>
      </c>
      <c r="O634" t="s">
        <v>51</v>
      </c>
      <c r="P634" s="32">
        <v>-179845.73</v>
      </c>
      <c r="Q634" s="30">
        <v>77779.240000000005</v>
      </c>
      <c r="R634" s="30">
        <v>541032.64</v>
      </c>
      <c r="S634" s="30" t="s">
        <v>63</v>
      </c>
      <c r="T634" t="s">
        <v>33</v>
      </c>
      <c r="U634" s="31" t="e">
        <v>#N/A</v>
      </c>
      <c r="V634" t="s">
        <v>34</v>
      </c>
      <c r="Y634" t="e">
        <f>VLOOKUP(A634,[2]!PRGX[[#All],[Proveedor]],1,FALSE)</f>
        <v>#REF!</v>
      </c>
    </row>
    <row r="635" spans="1:25" x14ac:dyDescent="0.25">
      <c r="A635" s="52">
        <v>14296</v>
      </c>
      <c r="B635" s="52" t="s">
        <v>664</v>
      </c>
      <c r="C635" s="53">
        <v>28209</v>
      </c>
      <c r="D635" s="54">
        <v>135992357.75999999</v>
      </c>
      <c r="E635" s="27">
        <v>111992306.08999999</v>
      </c>
      <c r="F635" s="27">
        <v>24000051.670000002</v>
      </c>
      <c r="G635" s="54">
        <f>VLOOKUP(A635,'[1]saldos al 26May26'!$C$2:$I$1010,7,FALSE)</f>
        <v>-3075628.96</v>
      </c>
      <c r="H635" s="54"/>
      <c r="I635" s="55"/>
      <c r="J635" s="56">
        <v>298198.58030215598</v>
      </c>
      <c r="K635" s="52" t="s">
        <v>40</v>
      </c>
      <c r="L635" s="52" t="s">
        <v>30</v>
      </c>
      <c r="M635" s="52" t="s">
        <v>31</v>
      </c>
      <c r="N635" s="52" t="s">
        <v>41</v>
      </c>
      <c r="O635" s="63" t="s">
        <v>41</v>
      </c>
      <c r="P635" s="59">
        <v>-202766.93</v>
      </c>
      <c r="Q635" s="58">
        <v>69977.36</v>
      </c>
      <c r="R635" s="30">
        <v>180000</v>
      </c>
      <c r="S635" s="30">
        <v>0</v>
      </c>
      <c r="T635" s="57" t="s">
        <v>34</v>
      </c>
      <c r="U635" s="31">
        <v>0</v>
      </c>
      <c r="V635" s="57" t="s">
        <v>42</v>
      </c>
      <c r="X635" t="s">
        <v>43</v>
      </c>
      <c r="Y635" t="e">
        <f>VLOOKUP(A635,[2]!PRGX[[#All],[Proveedor]],1,FALSE)</f>
        <v>#REF!</v>
      </c>
    </row>
    <row r="636" spans="1:25" x14ac:dyDescent="0.25">
      <c r="A636" s="25">
        <v>22506</v>
      </c>
      <c r="B636" s="25" t="s">
        <v>665</v>
      </c>
      <c r="C636" s="26">
        <v>28333</v>
      </c>
      <c r="D636" s="27">
        <v>133787403.0389</v>
      </c>
      <c r="E636" s="27">
        <v>58439607.638899997</v>
      </c>
      <c r="F636" s="27">
        <v>75347795.400000006</v>
      </c>
      <c r="G636" s="27">
        <f>VLOOKUP(A636,'[1]saldos al 26May26'!$C$2:$I$1010,7,FALSE)</f>
        <v>-3072374.02</v>
      </c>
      <c r="H636" s="27"/>
      <c r="I636" s="28"/>
      <c r="J636" s="29"/>
      <c r="K636" s="25" t="s">
        <v>40</v>
      </c>
      <c r="L636" s="25" t="s">
        <v>30</v>
      </c>
      <c r="M636" s="25" t="s">
        <v>55</v>
      </c>
      <c r="N636" s="25" t="s">
        <v>70</v>
      </c>
      <c r="O636" t="s">
        <v>70</v>
      </c>
      <c r="P636" s="32">
        <v>-249388</v>
      </c>
      <c r="Q636" s="30">
        <v>0</v>
      </c>
      <c r="R636" s="30"/>
      <c r="S636" s="30" t="e">
        <v>#N/A</v>
      </c>
      <c r="T636" t="s">
        <v>34</v>
      </c>
      <c r="U636" s="31" t="e">
        <v>#N/A</v>
      </c>
      <c r="V636" t="s">
        <v>34</v>
      </c>
      <c r="Y636" t="e">
        <f>VLOOKUP(A636,[2]!PRGX[[#All],[Proveedor]],1,FALSE)</f>
        <v>#REF!</v>
      </c>
    </row>
    <row r="637" spans="1:25" x14ac:dyDescent="0.25">
      <c r="A637" s="25">
        <v>302588</v>
      </c>
      <c r="B637" s="25" t="s">
        <v>666</v>
      </c>
      <c r="C637" s="26">
        <v>3334</v>
      </c>
      <c r="D637" s="27">
        <v>132432253.3857</v>
      </c>
      <c r="E637" s="27">
        <v>106940618.79449999</v>
      </c>
      <c r="F637" s="27">
        <v>25491634.591200002</v>
      </c>
      <c r="G637" s="27">
        <f>VLOOKUP(A637,'[1]saldos al 26May26'!$C$2:$I$1010,7,FALSE)</f>
        <v>-1286909.46</v>
      </c>
      <c r="H637" s="27"/>
      <c r="I637" s="28"/>
      <c r="J637" s="29"/>
      <c r="K637" s="25" t="s">
        <v>29</v>
      </c>
      <c r="L637" s="25" t="s">
        <v>30</v>
      </c>
      <c r="M637" s="25" t="s">
        <v>31</v>
      </c>
      <c r="N637" s="25"/>
      <c r="O637" t="s">
        <v>47</v>
      </c>
      <c r="P637" s="32">
        <v>-540383.92999999993</v>
      </c>
      <c r="Q637" s="30">
        <v>-42841.37</v>
      </c>
      <c r="R637" s="30">
        <v>55245.34</v>
      </c>
      <c r="S637" s="30" t="s">
        <v>33</v>
      </c>
      <c r="T637" t="s">
        <v>33</v>
      </c>
      <c r="U637" s="31" t="e">
        <v>#N/A</v>
      </c>
      <c r="V637" t="s">
        <v>34</v>
      </c>
      <c r="Y637" t="e">
        <f>VLOOKUP(A637,[2]!PRGX[[#All],[Proveedor]],1,FALSE)</f>
        <v>#REF!</v>
      </c>
    </row>
    <row r="638" spans="1:25" x14ac:dyDescent="0.25">
      <c r="A638" s="25">
        <v>86199</v>
      </c>
      <c r="B638" s="25" t="s">
        <v>667</v>
      </c>
      <c r="C638" s="26">
        <v>9710</v>
      </c>
      <c r="D638" s="27">
        <v>132007062.05</v>
      </c>
      <c r="E638" s="27">
        <v>108443881.55</v>
      </c>
      <c r="F638" s="27">
        <v>23563180.5</v>
      </c>
      <c r="G638" s="27">
        <f>VLOOKUP(A638,'[1]saldos al 26May26'!$C$2:$I$1010,7,FALSE)</f>
        <v>-1522174.24</v>
      </c>
      <c r="H638" s="27"/>
      <c r="I638" s="28"/>
      <c r="J638" s="29"/>
      <c r="K638" s="25" t="s">
        <v>29</v>
      </c>
      <c r="L638" s="25" t="s">
        <v>30</v>
      </c>
      <c r="M638" s="25" t="s">
        <v>50</v>
      </c>
      <c r="N638" s="25"/>
      <c r="O638" t="s">
        <v>45</v>
      </c>
      <c r="P638" s="32">
        <v>-862161.43</v>
      </c>
      <c r="Q638" s="30">
        <v>311355.53999999998</v>
      </c>
      <c r="R638" s="30">
        <v>581897.41</v>
      </c>
      <c r="S638" s="30" t="s">
        <v>63</v>
      </c>
      <c r="T638" t="s">
        <v>33</v>
      </c>
      <c r="U638" s="31" t="e">
        <v>#N/A</v>
      </c>
      <c r="V638" t="s">
        <v>34</v>
      </c>
      <c r="Y638" t="e">
        <f>VLOOKUP(A638,[2]!PRGX[[#All],[Proveedor]],1,FALSE)</f>
        <v>#REF!</v>
      </c>
    </row>
    <row r="639" spans="1:25" x14ac:dyDescent="0.25">
      <c r="A639" s="25">
        <v>303664</v>
      </c>
      <c r="B639" s="25" t="s">
        <v>668</v>
      </c>
      <c r="C639" s="26">
        <v>79967</v>
      </c>
      <c r="D639" s="27">
        <v>130959618.33</v>
      </c>
      <c r="E639" s="27">
        <v>115904354.8</v>
      </c>
      <c r="F639" s="27">
        <v>15055263.529999999</v>
      </c>
      <c r="G639" s="27">
        <f>VLOOKUP(A639,'[1]saldos al 26May26'!$C$2:$I$1010,7,FALSE)</f>
        <v>-359345.08</v>
      </c>
      <c r="H639" s="27"/>
      <c r="I639" s="28"/>
      <c r="J639" s="29"/>
      <c r="K639" s="25" t="s">
        <v>29</v>
      </c>
      <c r="L639" s="25" t="s">
        <v>30</v>
      </c>
      <c r="M639" s="25" t="s">
        <v>50</v>
      </c>
      <c r="N639" s="25"/>
      <c r="O639" t="s">
        <v>96</v>
      </c>
      <c r="P639" s="32">
        <v>-636315.5</v>
      </c>
      <c r="Q639" s="30">
        <v>167760.5</v>
      </c>
      <c r="R639" s="30"/>
      <c r="S639" s="30">
        <v>0</v>
      </c>
      <c r="T639" t="s">
        <v>33</v>
      </c>
      <c r="U639" s="31" t="e">
        <v>#N/A</v>
      </c>
      <c r="V639" t="s">
        <v>34</v>
      </c>
      <c r="W639" s="42"/>
      <c r="Y639" t="e">
        <f>VLOOKUP(A639,[2]!PRGX[[#All],[Proveedor]],1,FALSE)</f>
        <v>#REF!</v>
      </c>
    </row>
    <row r="640" spans="1:25" x14ac:dyDescent="0.25">
      <c r="A640" s="25">
        <v>312017</v>
      </c>
      <c r="B640" s="25" t="s">
        <v>669</v>
      </c>
      <c r="C640" s="26">
        <v>28634</v>
      </c>
      <c r="D640" s="27">
        <v>130942799.27</v>
      </c>
      <c r="E640" s="27">
        <v>110209614.41</v>
      </c>
      <c r="F640" s="27">
        <v>20733184.859999999</v>
      </c>
      <c r="G640" s="27">
        <f>VLOOKUP(A640,'[1]saldos al 26May26'!$C$2:$I$1010,7,FALSE)</f>
        <v>-5741842.1799999997</v>
      </c>
      <c r="H640" s="27"/>
      <c r="I640" s="28"/>
      <c r="J640" s="29">
        <v>352721.39051748451</v>
      </c>
      <c r="K640" s="25" t="s">
        <v>40</v>
      </c>
      <c r="L640" s="25" t="s">
        <v>30</v>
      </c>
      <c r="M640" s="25" t="s">
        <v>31</v>
      </c>
      <c r="N640" s="25" t="s">
        <v>67</v>
      </c>
      <c r="O640" t="s">
        <v>67</v>
      </c>
      <c r="P640" s="32">
        <v>-128280.28</v>
      </c>
      <c r="Q640" s="30">
        <v>95500.160000000003</v>
      </c>
      <c r="R640" s="30">
        <v>271706</v>
      </c>
      <c r="S640" s="30">
        <v>0</v>
      </c>
      <c r="T640" t="s">
        <v>33</v>
      </c>
      <c r="U640" s="31">
        <v>0</v>
      </c>
      <c r="V640" t="s">
        <v>42</v>
      </c>
      <c r="Y640" t="e">
        <f>VLOOKUP(A640,[2]!PRGX[[#All],[Proveedor]],1,FALSE)</f>
        <v>#REF!</v>
      </c>
    </row>
    <row r="641" spans="1:26" x14ac:dyDescent="0.25">
      <c r="A641" s="25">
        <v>20125</v>
      </c>
      <c r="B641" s="25" t="s">
        <v>670</v>
      </c>
      <c r="C641" s="26">
        <v>7353</v>
      </c>
      <c r="D641" s="27">
        <v>1453740218.24</v>
      </c>
      <c r="E641" s="27">
        <v>1065134513.24</v>
      </c>
      <c r="F641" s="27">
        <v>388605705</v>
      </c>
      <c r="G641" s="27">
        <f>VLOOKUP(A641,'[1]saldos al 26May26'!$C$2:$I$1010,7,FALSE)</f>
        <v>-151450264.38999999</v>
      </c>
      <c r="H641" s="27"/>
      <c r="I641" s="28" t="s">
        <v>27</v>
      </c>
      <c r="J641" s="29"/>
      <c r="K641" s="25" t="s">
        <v>29</v>
      </c>
      <c r="L641" s="25" t="s">
        <v>30</v>
      </c>
      <c r="M641" s="25" t="s">
        <v>50</v>
      </c>
      <c r="N641" s="25"/>
      <c r="O641" t="s">
        <v>56</v>
      </c>
      <c r="P641" s="32">
        <v>-7314020.4100000001</v>
      </c>
      <c r="Q641" s="30">
        <v>0</v>
      </c>
      <c r="R641" s="30">
        <v>179021.51</v>
      </c>
      <c r="S641" s="30" t="s">
        <v>63</v>
      </c>
      <c r="T641" t="s">
        <v>33</v>
      </c>
      <c r="U641" s="31">
        <v>0</v>
      </c>
      <c r="V641" t="s">
        <v>42</v>
      </c>
      <c r="Y641" t="e">
        <f>VLOOKUP(A641,[2]!PRGX[[#All],[Proveedor]],1,FALSE)</f>
        <v>#REF!</v>
      </c>
      <c r="Z641">
        <v>20125</v>
      </c>
    </row>
    <row r="642" spans="1:26" x14ac:dyDescent="0.25">
      <c r="A642" s="25">
        <v>302620</v>
      </c>
      <c r="B642" s="25" t="s">
        <v>671</v>
      </c>
      <c r="C642" s="26">
        <v>168158</v>
      </c>
      <c r="D642" s="27">
        <v>129436723.567</v>
      </c>
      <c r="E642" s="27">
        <v>102170420.32700001</v>
      </c>
      <c r="F642" s="27">
        <v>27266303.239999998</v>
      </c>
      <c r="G642" s="27">
        <f>VLOOKUP(A642,'[1]saldos al 26May26'!$C$2:$I$1010,7,FALSE)</f>
        <v>-1617204.78</v>
      </c>
      <c r="H642" s="27"/>
      <c r="I642" s="28"/>
      <c r="J642" s="29"/>
      <c r="K642" s="25" t="s">
        <v>29</v>
      </c>
      <c r="L642" s="25" t="s">
        <v>30</v>
      </c>
      <c r="M642" s="25" t="s">
        <v>50</v>
      </c>
      <c r="N642" s="25"/>
      <c r="O642" t="s">
        <v>80</v>
      </c>
      <c r="P642" s="30">
        <v>13537.729999999981</v>
      </c>
      <c r="Q642" s="30">
        <v>76236.63</v>
      </c>
      <c r="R642" s="30"/>
      <c r="S642" s="30" t="s">
        <v>33</v>
      </c>
      <c r="T642" t="s">
        <v>33</v>
      </c>
      <c r="U642" s="31" t="e">
        <v>#N/A</v>
      </c>
      <c r="V642" t="s">
        <v>34</v>
      </c>
      <c r="Y642" t="e">
        <f>VLOOKUP(A642,[2]!PRGX[[#All],[Proveedor]],1,FALSE)</f>
        <v>#REF!</v>
      </c>
    </row>
    <row r="643" spans="1:26" x14ac:dyDescent="0.25">
      <c r="A643" s="25">
        <v>309468</v>
      </c>
      <c r="B643" s="25" t="s">
        <v>672</v>
      </c>
      <c r="C643" s="26">
        <v>10533</v>
      </c>
      <c r="D643" s="27">
        <v>128994979.34</v>
      </c>
      <c r="E643" s="27">
        <v>94163393.420000002</v>
      </c>
      <c r="F643" s="27">
        <v>34831585.920000002</v>
      </c>
      <c r="G643" s="27">
        <f>VLOOKUP(A643,'[1]saldos al 26May26'!$C$2:$I$1010,7,FALSE)</f>
        <v>-11361425.220000001</v>
      </c>
      <c r="H643" s="27"/>
      <c r="I643" s="28"/>
      <c r="J643" s="29">
        <v>251269.1105220225</v>
      </c>
      <c r="K643" s="25" t="s">
        <v>40</v>
      </c>
      <c r="L643" s="25" t="s">
        <v>30</v>
      </c>
      <c r="M643" s="25" t="s">
        <v>31</v>
      </c>
      <c r="N643" s="25" t="s">
        <v>87</v>
      </c>
      <c r="O643" t="s">
        <v>87</v>
      </c>
      <c r="P643" s="32">
        <v>-807038.06</v>
      </c>
      <c r="Q643" s="30">
        <v>39813.29</v>
      </c>
      <c r="R643" s="30"/>
      <c r="S643" s="30">
        <v>0</v>
      </c>
      <c r="T643" t="s">
        <v>42</v>
      </c>
      <c r="U643" s="31" t="e">
        <v>#N/A</v>
      </c>
      <c r="V643" t="s">
        <v>34</v>
      </c>
      <c r="Y643" t="e">
        <f>VLOOKUP(A643,[2]!PRGX[[#All],[Proveedor]],1,FALSE)</f>
        <v>#REF!</v>
      </c>
    </row>
    <row r="644" spans="1:26" x14ac:dyDescent="0.25">
      <c r="A644" s="36">
        <v>7325</v>
      </c>
      <c r="B644" s="36" t="s">
        <v>673</v>
      </c>
      <c r="C644" s="37">
        <v>10582</v>
      </c>
      <c r="D644" s="38">
        <v>128837671.27</v>
      </c>
      <c r="E644" s="38">
        <v>111337566.03</v>
      </c>
      <c r="F644" s="38">
        <v>17500105.239999998</v>
      </c>
      <c r="G644" s="38" t="e">
        <f>VLOOKUP(A644,'[1]saldos al 26May26'!$C$2:$I$1010,7,FALSE)</f>
        <v>#N/A</v>
      </c>
      <c r="H644" s="39" t="s">
        <v>54</v>
      </c>
      <c r="I644" s="40"/>
      <c r="J644" s="41"/>
      <c r="K644" s="36" t="s">
        <v>29</v>
      </c>
      <c r="L644" s="36" t="s">
        <v>30</v>
      </c>
      <c r="M644" s="36" t="s">
        <v>55</v>
      </c>
      <c r="N644" s="25"/>
      <c r="O644" s="42" t="s">
        <v>41</v>
      </c>
      <c r="P644" s="30">
        <v>3200207.3000000003</v>
      </c>
      <c r="Q644" s="30">
        <v>0</v>
      </c>
      <c r="R644" s="30">
        <v>969777.76</v>
      </c>
      <c r="S644" s="30">
        <v>0</v>
      </c>
      <c r="T644" t="s">
        <v>33</v>
      </c>
      <c r="U644" s="31" t="e">
        <v>#N/A</v>
      </c>
      <c r="V644" t="s">
        <v>34</v>
      </c>
      <c r="Y644" t="e">
        <f>VLOOKUP(A644,[2]!PRGX[[#All],[Proveedor]],1,FALSE)</f>
        <v>#REF!</v>
      </c>
    </row>
    <row r="645" spans="1:26" x14ac:dyDescent="0.25">
      <c r="A645" s="25">
        <v>57539</v>
      </c>
      <c r="B645" s="25" t="s">
        <v>674</v>
      </c>
      <c r="C645" s="26">
        <v>40771</v>
      </c>
      <c r="D645" s="27">
        <v>128420820.81999999</v>
      </c>
      <c r="E645" s="27">
        <v>126032980.22</v>
      </c>
      <c r="F645" s="27">
        <v>2387840.6</v>
      </c>
      <c r="G645" s="27">
        <f>VLOOKUP(A645,'[1]saldos al 26May26'!$C$2:$I$1010,7,FALSE)</f>
        <v>-89807.2</v>
      </c>
      <c r="H645" s="27"/>
      <c r="I645" s="28"/>
      <c r="J645" s="29"/>
      <c r="K645" s="25" t="s">
        <v>29</v>
      </c>
      <c r="L645" s="25" t="s">
        <v>30</v>
      </c>
      <c r="M645" s="25" t="s">
        <v>55</v>
      </c>
      <c r="N645" s="25"/>
      <c r="O645" t="s">
        <v>70</v>
      </c>
      <c r="P645" s="32">
        <v>-55747.899999999994</v>
      </c>
      <c r="Q645" s="30">
        <v>0</v>
      </c>
      <c r="R645" s="30"/>
      <c r="S645" s="30" t="s">
        <v>33</v>
      </c>
      <c r="T645" t="s">
        <v>33</v>
      </c>
      <c r="U645" s="31" t="e">
        <v>#N/A</v>
      </c>
      <c r="V645" t="s">
        <v>34</v>
      </c>
      <c r="Y645" t="e">
        <f>VLOOKUP(A645,[2]!PRGX[[#All],[Proveedor]],1,FALSE)</f>
        <v>#REF!</v>
      </c>
    </row>
    <row r="646" spans="1:26" x14ac:dyDescent="0.25">
      <c r="A646" s="25">
        <v>17182</v>
      </c>
      <c r="B646" s="25" t="s">
        <v>675</v>
      </c>
      <c r="C646" s="26">
        <v>4047</v>
      </c>
      <c r="D646" s="27">
        <v>127298793.04099999</v>
      </c>
      <c r="E646" s="27">
        <v>70530465.447999984</v>
      </c>
      <c r="F646" s="27">
        <v>56768327.593000002</v>
      </c>
      <c r="G646" s="27">
        <f>VLOOKUP(A646,'[1]saldos al 26May26'!$C$2:$I$1010,7,FALSE)</f>
        <v>-3545006.86</v>
      </c>
      <c r="H646" s="27"/>
      <c r="I646" s="28"/>
      <c r="J646" s="29"/>
      <c r="K646" s="25" t="s">
        <v>40</v>
      </c>
      <c r="L646" s="25" t="s">
        <v>30</v>
      </c>
      <c r="M646" s="25" t="s">
        <v>55</v>
      </c>
      <c r="N646" s="25" t="s">
        <v>67</v>
      </c>
      <c r="O646" t="s">
        <v>67</v>
      </c>
      <c r="P646" s="30">
        <v>0</v>
      </c>
      <c r="Q646" s="30">
        <v>0</v>
      </c>
      <c r="R646" s="30"/>
      <c r="S646" s="30" t="e">
        <v>#N/A</v>
      </c>
      <c r="T646" t="s">
        <v>34</v>
      </c>
      <c r="U646" s="31" t="e">
        <v>#N/A</v>
      </c>
      <c r="V646" t="s">
        <v>34</v>
      </c>
      <c r="W646" s="42"/>
      <c r="Y646" t="e">
        <f>VLOOKUP(A646,[2]!PRGX[[#All],[Proveedor]],1,FALSE)</f>
        <v>#REF!</v>
      </c>
    </row>
    <row r="647" spans="1:26" x14ac:dyDescent="0.25">
      <c r="A647" s="25">
        <v>99812</v>
      </c>
      <c r="B647" s="25" t="s">
        <v>676</v>
      </c>
      <c r="C647" s="26">
        <v>6131</v>
      </c>
      <c r="D647" s="27">
        <v>1078858988.8599999</v>
      </c>
      <c r="E647" s="27">
        <v>974928755.98999989</v>
      </c>
      <c r="F647" s="27">
        <v>103930232.87</v>
      </c>
      <c r="G647" s="27">
        <f>VLOOKUP(A647,'[1]saldos al 26May26'!$C$2:$I$1010,7,FALSE)</f>
        <v>-1593108.43</v>
      </c>
      <c r="H647" s="27"/>
      <c r="I647" s="28"/>
      <c r="J647" s="29"/>
      <c r="K647" s="25" t="s">
        <v>29</v>
      </c>
      <c r="L647" s="25" t="s">
        <v>30</v>
      </c>
      <c r="M647" s="25" t="s">
        <v>59</v>
      </c>
      <c r="N647" s="25"/>
      <c r="O647" t="s">
        <v>56</v>
      </c>
      <c r="P647" s="30">
        <v>10087045.27</v>
      </c>
      <c r="Q647" s="30">
        <v>10615041.789999999</v>
      </c>
      <c r="R647" s="30">
        <v>676945.01</v>
      </c>
      <c r="S647" s="30" t="s">
        <v>33</v>
      </c>
      <c r="T647" t="s">
        <v>33</v>
      </c>
      <c r="U647" s="31">
        <v>0</v>
      </c>
      <c r="V647" t="s">
        <v>33</v>
      </c>
      <c r="Y647" t="e">
        <f>VLOOKUP(A647,[2]!PRGX[[#All],[Proveedor]],1,FALSE)</f>
        <v>#REF!</v>
      </c>
    </row>
    <row r="648" spans="1:26" x14ac:dyDescent="0.25">
      <c r="A648" s="25">
        <v>95273</v>
      </c>
      <c r="B648" s="25" t="s">
        <v>677</v>
      </c>
      <c r="C648" s="26">
        <v>39507</v>
      </c>
      <c r="D648" s="27">
        <v>126769310.91</v>
      </c>
      <c r="E648" s="27">
        <v>91507861.879999995</v>
      </c>
      <c r="F648" s="27">
        <v>35261449.030000001</v>
      </c>
      <c r="G648" s="27">
        <f>VLOOKUP(A648,'[1]saldos al 26May26'!$C$2:$I$1010,7,FALSE)</f>
        <v>-2285147.42</v>
      </c>
      <c r="H648" s="27"/>
      <c r="I648" s="28"/>
      <c r="J648" s="29"/>
      <c r="K648" s="25" t="s">
        <v>29</v>
      </c>
      <c r="L648" s="25" t="s">
        <v>30</v>
      </c>
      <c r="M648" s="25" t="s">
        <v>50</v>
      </c>
      <c r="N648" s="25"/>
      <c r="O648" t="s">
        <v>36</v>
      </c>
      <c r="P648" s="32">
        <v>-65497.66</v>
      </c>
      <c r="Q648" s="30">
        <v>0</v>
      </c>
      <c r="R648" s="30"/>
      <c r="S648" s="30" t="s">
        <v>63</v>
      </c>
      <c r="T648" t="s">
        <v>33</v>
      </c>
      <c r="U648" s="31" t="e">
        <v>#N/A</v>
      </c>
      <c r="V648" t="s">
        <v>34</v>
      </c>
      <c r="Y648" t="e">
        <f>VLOOKUP(A648,[2]!PRGX[[#All],[Proveedor]],1,FALSE)</f>
        <v>#REF!</v>
      </c>
    </row>
    <row r="649" spans="1:26" x14ac:dyDescent="0.25">
      <c r="A649" s="25">
        <v>335307</v>
      </c>
      <c r="B649" s="25" t="s">
        <v>678</v>
      </c>
      <c r="C649" s="26">
        <v>40342</v>
      </c>
      <c r="D649" s="27">
        <v>125762922.34</v>
      </c>
      <c r="E649" s="27">
        <v>111074646.66</v>
      </c>
      <c r="F649" s="27">
        <v>14688275.68</v>
      </c>
      <c r="G649" s="27">
        <f>VLOOKUP(A649,'[1]saldos al 26May26'!$C$2:$I$1010,7,FALSE)</f>
        <v>-2427036.56</v>
      </c>
      <c r="H649" s="27"/>
      <c r="I649" s="28"/>
      <c r="J649" s="29">
        <v>522293.9903737735</v>
      </c>
      <c r="K649" s="25" t="s">
        <v>40</v>
      </c>
      <c r="L649" s="25" t="s">
        <v>30</v>
      </c>
      <c r="M649" s="25" t="s">
        <v>31</v>
      </c>
      <c r="N649" s="25" t="s">
        <v>70</v>
      </c>
      <c r="O649" t="s">
        <v>70</v>
      </c>
      <c r="P649" s="32">
        <v>-120238.48</v>
      </c>
      <c r="Q649" s="30">
        <v>95453.1</v>
      </c>
      <c r="R649" s="30">
        <v>50000</v>
      </c>
      <c r="S649" s="30" t="s">
        <v>63</v>
      </c>
      <c r="T649" t="s">
        <v>33</v>
      </c>
      <c r="U649" s="31" t="s">
        <v>33</v>
      </c>
      <c r="V649" t="s">
        <v>33</v>
      </c>
      <c r="Y649" t="e">
        <f>VLOOKUP(A649,[2]!PRGX[[#All],[Proveedor]],1,FALSE)</f>
        <v>#REF!</v>
      </c>
    </row>
    <row r="650" spans="1:26" x14ac:dyDescent="0.25">
      <c r="A650" s="25">
        <v>16095</v>
      </c>
      <c r="B650" s="25" t="s">
        <v>679</v>
      </c>
      <c r="C650" s="26">
        <v>3517</v>
      </c>
      <c r="D650" s="27">
        <v>125637145.79000001</v>
      </c>
      <c r="E650" s="27">
        <v>124899107.42</v>
      </c>
      <c r="F650" s="27">
        <v>738038.37</v>
      </c>
      <c r="G650" s="27">
        <f>VLOOKUP(A650,'[1]saldos al 26May26'!$C$2:$I$1010,7,FALSE)</f>
        <v>459125.18</v>
      </c>
      <c r="H650" s="39" t="s">
        <v>54</v>
      </c>
      <c r="I650" s="28"/>
      <c r="J650" s="29">
        <v>1118511.7889432793</v>
      </c>
      <c r="K650" s="25" t="s">
        <v>29</v>
      </c>
      <c r="L650" s="25" t="s">
        <v>30</v>
      </c>
      <c r="M650" s="25" t="s">
        <v>55</v>
      </c>
      <c r="N650" s="25"/>
      <c r="O650" t="s">
        <v>36</v>
      </c>
      <c r="P650" s="32">
        <v>-780664.10000000009</v>
      </c>
      <c r="Q650" s="30">
        <v>0</v>
      </c>
      <c r="R650" s="30">
        <v>10044</v>
      </c>
      <c r="S650" s="30" t="s">
        <v>63</v>
      </c>
      <c r="T650" t="s">
        <v>33</v>
      </c>
      <c r="U650" s="31" t="e">
        <v>#N/A</v>
      </c>
      <c r="V650" t="s">
        <v>34</v>
      </c>
      <c r="Y650" t="e">
        <f>VLOOKUP(A650,[2]!PRGX[[#All],[Proveedor]],1,FALSE)</f>
        <v>#REF!</v>
      </c>
    </row>
    <row r="651" spans="1:26" x14ac:dyDescent="0.25">
      <c r="A651" s="25">
        <v>392381</v>
      </c>
      <c r="B651" s="25" t="s">
        <v>680</v>
      </c>
      <c r="C651" s="26">
        <v>20049</v>
      </c>
      <c r="D651" s="27">
        <v>125505335.48119999</v>
      </c>
      <c r="E651" s="27">
        <v>101195875.9012</v>
      </c>
      <c r="F651" s="27">
        <v>24309459.579999998</v>
      </c>
      <c r="G651" s="27">
        <f>VLOOKUP(A651,'[1]saldos al 26May26'!$C$2:$I$1010,7,FALSE)</f>
        <v>-2041699.97</v>
      </c>
      <c r="H651" s="27"/>
      <c r="I651" s="28"/>
      <c r="J651" s="29"/>
      <c r="K651" s="25" t="s">
        <v>29</v>
      </c>
      <c r="L651" s="25" t="s">
        <v>30</v>
      </c>
      <c r="M651" s="25" t="s">
        <v>55</v>
      </c>
      <c r="N651" s="25"/>
      <c r="O651" t="s">
        <v>36</v>
      </c>
      <c r="P651" s="32">
        <v>-1241.5299999999988</v>
      </c>
      <c r="Q651" s="30">
        <v>793795</v>
      </c>
      <c r="R651" s="30">
        <v>40448.58</v>
      </c>
      <c r="S651" s="30" t="s">
        <v>33</v>
      </c>
      <c r="T651" t="s">
        <v>33</v>
      </c>
      <c r="U651" s="31" t="e">
        <v>#N/A</v>
      </c>
      <c r="V651" t="s">
        <v>34</v>
      </c>
      <c r="Y651" t="e">
        <f>VLOOKUP(A651,[2]!PRGX[[#All],[Proveedor]],1,FALSE)</f>
        <v>#REF!</v>
      </c>
    </row>
    <row r="652" spans="1:26" x14ac:dyDescent="0.25">
      <c r="A652" s="25">
        <v>21059</v>
      </c>
      <c r="B652" s="25" t="s">
        <v>681</v>
      </c>
      <c r="C652" s="26">
        <v>186</v>
      </c>
      <c r="D652" s="27">
        <v>124830041.3414</v>
      </c>
      <c r="E652" s="27">
        <v>123707051.3414</v>
      </c>
      <c r="F652" s="27">
        <v>1122990</v>
      </c>
      <c r="G652" s="27">
        <f>VLOOKUP(A652,'[1]saldos al 26May26'!$C$2:$I$1010,7,FALSE)</f>
        <v>4752</v>
      </c>
      <c r="H652" s="39" t="s">
        <v>54</v>
      </c>
      <c r="I652" s="28"/>
      <c r="J652" s="29"/>
      <c r="K652" s="25" t="s">
        <v>29</v>
      </c>
      <c r="L652" s="25" t="s">
        <v>30</v>
      </c>
      <c r="M652" s="36" t="s">
        <v>55</v>
      </c>
      <c r="N652" s="25"/>
      <c r="O652" t="s">
        <v>70</v>
      </c>
      <c r="P652" s="30">
        <v>1551838.65</v>
      </c>
      <c r="Q652" s="30">
        <v>0</v>
      </c>
      <c r="R652" s="30">
        <v>2754869</v>
      </c>
      <c r="S652" s="30" t="s">
        <v>33</v>
      </c>
      <c r="T652" t="s">
        <v>33</v>
      </c>
      <c r="U652" s="31" t="e">
        <v>#N/A</v>
      </c>
      <c r="V652" t="s">
        <v>34</v>
      </c>
      <c r="Y652" t="e">
        <f>VLOOKUP(A652,[2]!PRGX[[#All],[Proveedor]],1,FALSE)</f>
        <v>#REF!</v>
      </c>
    </row>
    <row r="653" spans="1:26" x14ac:dyDescent="0.25">
      <c r="A653" s="25">
        <v>55780</v>
      </c>
      <c r="B653" s="25" t="s">
        <v>682</v>
      </c>
      <c r="C653" s="26">
        <v>77729</v>
      </c>
      <c r="D653" s="27">
        <v>835299488.78639996</v>
      </c>
      <c r="E653" s="27">
        <v>631031835.08999991</v>
      </c>
      <c r="F653" s="27">
        <v>204267653.69639999</v>
      </c>
      <c r="G653" s="27">
        <f>VLOOKUP(A653,'[1]saldos al 26May26'!$C$2:$I$1010,7,FALSE)</f>
        <v>-64682665.299999997</v>
      </c>
      <c r="H653" s="27"/>
      <c r="I653" s="28" t="s">
        <v>27</v>
      </c>
      <c r="J653" s="29"/>
      <c r="K653" s="25" t="s">
        <v>29</v>
      </c>
      <c r="L653" s="25" t="s">
        <v>30</v>
      </c>
      <c r="M653" s="25" t="s">
        <v>50</v>
      </c>
      <c r="N653" s="25"/>
      <c r="O653" t="s">
        <v>56</v>
      </c>
      <c r="P653" s="30">
        <v>1555619.5899999999</v>
      </c>
      <c r="Q653" s="30">
        <v>2910768.43</v>
      </c>
      <c r="R653" s="30"/>
      <c r="S653" s="30" t="s">
        <v>63</v>
      </c>
      <c r="T653" t="s">
        <v>33</v>
      </c>
      <c r="U653" s="31">
        <v>0</v>
      </c>
      <c r="V653" t="s">
        <v>42</v>
      </c>
      <c r="Y653" t="e">
        <f>VLOOKUP(A653,[2]!PRGX[[#All],[Proveedor]],1,FALSE)</f>
        <v>#REF!</v>
      </c>
      <c r="Z653">
        <v>55780</v>
      </c>
    </row>
    <row r="654" spans="1:26" x14ac:dyDescent="0.25">
      <c r="A654" s="25">
        <v>25222</v>
      </c>
      <c r="B654" s="25" t="s">
        <v>683</v>
      </c>
      <c r="C654" s="26">
        <v>1128</v>
      </c>
      <c r="D654" s="27">
        <v>122857969.45999999</v>
      </c>
      <c r="E654" s="27">
        <v>15803880</v>
      </c>
      <c r="F654" s="27">
        <v>107054089.45999999</v>
      </c>
      <c r="G654" s="27">
        <f>VLOOKUP(A654,'[1]saldos al 26May26'!$C$2:$I$1010,7,FALSE)</f>
        <v>-19609419.73</v>
      </c>
      <c r="H654" s="27"/>
      <c r="I654" s="28"/>
      <c r="J654" s="29"/>
      <c r="K654" s="25" t="s">
        <v>40</v>
      </c>
      <c r="L654" s="25" t="s">
        <v>30</v>
      </c>
      <c r="M654" s="25" t="s">
        <v>50</v>
      </c>
      <c r="N654" s="25" t="s">
        <v>67</v>
      </c>
      <c r="O654" t="s">
        <v>67</v>
      </c>
      <c r="P654" s="32">
        <v>-204</v>
      </c>
      <c r="Q654" s="30">
        <v>0</v>
      </c>
      <c r="R654" s="30"/>
      <c r="S654" s="30" t="e">
        <v>#N/A</v>
      </c>
      <c r="T654" t="s">
        <v>34</v>
      </c>
      <c r="U654" s="31" t="e">
        <v>#N/A</v>
      </c>
      <c r="V654" t="s">
        <v>34</v>
      </c>
      <c r="Y654" t="e">
        <f>VLOOKUP(A654,[2]!PRGX[[#All],[Proveedor]],1,FALSE)</f>
        <v>#REF!</v>
      </c>
    </row>
    <row r="655" spans="1:26" x14ac:dyDescent="0.25">
      <c r="A655" s="25">
        <v>25469</v>
      </c>
      <c r="B655" s="25" t="s">
        <v>684</v>
      </c>
      <c r="C655" s="26">
        <v>2296</v>
      </c>
      <c r="D655" s="27">
        <v>122324741.9199</v>
      </c>
      <c r="E655" s="27">
        <v>21894175.628999993</v>
      </c>
      <c r="F655" s="27">
        <v>100430566.29090001</v>
      </c>
      <c r="G655" s="27">
        <f>VLOOKUP(A655,'[1]saldos al 26May26'!$C$2:$I$1010,7,FALSE)</f>
        <v>-2177653.41</v>
      </c>
      <c r="H655" s="27"/>
      <c r="I655" s="28"/>
      <c r="J655" s="29"/>
      <c r="K655" s="25" t="s">
        <v>40</v>
      </c>
      <c r="L655" s="25" t="s">
        <v>30</v>
      </c>
      <c r="M655" s="25" t="s">
        <v>50</v>
      </c>
      <c r="N655" s="25" t="s">
        <v>80</v>
      </c>
      <c r="O655" t="s">
        <v>80</v>
      </c>
      <c r="P655" s="30">
        <v>0</v>
      </c>
      <c r="Q655" s="30">
        <v>0</v>
      </c>
      <c r="R655" s="30"/>
      <c r="S655" s="30" t="e">
        <v>#N/A</v>
      </c>
      <c r="T655" t="s">
        <v>34</v>
      </c>
      <c r="U655" s="31" t="e">
        <v>#N/A</v>
      </c>
      <c r="V655" t="s">
        <v>34</v>
      </c>
      <c r="Y655" t="e">
        <f>VLOOKUP(A655,[2]!PRGX[[#All],[Proveedor]],1,FALSE)</f>
        <v>#REF!</v>
      </c>
    </row>
    <row r="656" spans="1:26" x14ac:dyDescent="0.25">
      <c r="A656" s="25">
        <v>394874</v>
      </c>
      <c r="B656" s="25" t="s">
        <v>685</v>
      </c>
      <c r="C656" s="26">
        <v>43957</v>
      </c>
      <c r="D656" s="27">
        <v>122045147.19419999</v>
      </c>
      <c r="E656" s="27">
        <v>116140062.4742</v>
      </c>
      <c r="F656" s="27">
        <v>5905084.7199999997</v>
      </c>
      <c r="G656" s="27">
        <f>VLOOKUP(A656,'[1]saldos al 26May26'!$C$2:$I$1010,7,FALSE)</f>
        <v>-136590.92000000001</v>
      </c>
      <c r="H656" s="27"/>
      <c r="I656" s="28"/>
      <c r="J656" s="29"/>
      <c r="K656" s="25" t="s">
        <v>29</v>
      </c>
      <c r="L656" s="25" t="s">
        <v>30</v>
      </c>
      <c r="M656" s="25" t="s">
        <v>50</v>
      </c>
      <c r="N656" s="25"/>
      <c r="O656" t="s">
        <v>70</v>
      </c>
      <c r="P656" s="30">
        <v>533157.64000000013</v>
      </c>
      <c r="Q656" s="30">
        <v>692108.93</v>
      </c>
      <c r="R656" s="30"/>
      <c r="S656" s="30" t="s">
        <v>33</v>
      </c>
      <c r="T656" t="s">
        <v>33</v>
      </c>
      <c r="U656" s="31" t="e">
        <v>#N/A</v>
      </c>
      <c r="V656" t="s">
        <v>34</v>
      </c>
      <c r="Y656" t="e">
        <f>VLOOKUP(A656,[2]!PRGX[[#All],[Proveedor]],1,FALSE)</f>
        <v>#REF!</v>
      </c>
    </row>
    <row r="657" spans="1:26" s="42" customFormat="1" x14ac:dyDescent="0.25">
      <c r="A657" s="25">
        <v>17058</v>
      </c>
      <c r="B657" s="25" t="s">
        <v>686</v>
      </c>
      <c r="C657" s="26">
        <v>2426</v>
      </c>
      <c r="D657" s="27">
        <v>121168151.04000001</v>
      </c>
      <c r="E657" s="27">
        <v>116979765.44000001</v>
      </c>
      <c r="F657" s="27">
        <v>4188385.6</v>
      </c>
      <c r="G657" s="27">
        <f>VLOOKUP(A657,'[1]saldos al 26May26'!$C$2:$I$1010,7,FALSE)</f>
        <v>-344309.24</v>
      </c>
      <c r="H657" s="27"/>
      <c r="I657" s="28"/>
      <c r="J657" s="29"/>
      <c r="K657" s="25" t="s">
        <v>29</v>
      </c>
      <c r="L657" s="25" t="s">
        <v>30</v>
      </c>
      <c r="M657" s="25" t="s">
        <v>50</v>
      </c>
      <c r="N657" s="25"/>
      <c r="O657" t="s">
        <v>36</v>
      </c>
      <c r="P657" s="32">
        <v>-246871.49999999997</v>
      </c>
      <c r="Q657" s="30">
        <v>22736</v>
      </c>
      <c r="R657" s="30">
        <v>31896</v>
      </c>
      <c r="S657" s="30" t="s">
        <v>63</v>
      </c>
      <c r="T657" t="s">
        <v>33</v>
      </c>
      <c r="U657" s="31" t="e">
        <v>#N/A</v>
      </c>
      <c r="V657" t="s">
        <v>34</v>
      </c>
      <c r="W657"/>
      <c r="Y657" t="e">
        <f>VLOOKUP(A657,[2]!PRGX[[#All],[Proveedor]],1,FALSE)</f>
        <v>#REF!</v>
      </c>
      <c r="Z657"/>
    </row>
    <row r="658" spans="1:26" x14ac:dyDescent="0.25">
      <c r="A658" s="25">
        <v>313908</v>
      </c>
      <c r="B658" s="25" t="s">
        <v>687</v>
      </c>
      <c r="C658" s="26">
        <v>18414</v>
      </c>
      <c r="D658" s="27">
        <v>121121583.20999999</v>
      </c>
      <c r="E658" s="27">
        <v>104668067.69</v>
      </c>
      <c r="F658" s="27">
        <v>16453515.52</v>
      </c>
      <c r="G658" s="27">
        <f>VLOOKUP(A658,'[1]saldos al 26May26'!$C$2:$I$1010,7,FALSE)</f>
        <v>-5100398.9400000004</v>
      </c>
      <c r="H658" s="27"/>
      <c r="I658" s="28"/>
      <c r="J658" s="29"/>
      <c r="K658" s="25" t="s">
        <v>29</v>
      </c>
      <c r="L658" s="25" t="s">
        <v>30</v>
      </c>
      <c r="M658" s="25" t="s">
        <v>55</v>
      </c>
      <c r="N658" s="25"/>
      <c r="O658" t="s">
        <v>70</v>
      </c>
      <c r="P658" s="32">
        <v>-55158.229999999996</v>
      </c>
      <c r="Q658" s="30">
        <v>2828876.19</v>
      </c>
      <c r="R658" s="30"/>
      <c r="S658" s="30" t="s">
        <v>33</v>
      </c>
      <c r="T658" t="s">
        <v>33</v>
      </c>
      <c r="U658" s="31">
        <v>0</v>
      </c>
      <c r="V658" t="s">
        <v>42</v>
      </c>
      <c r="Y658" t="e">
        <f>VLOOKUP(A658,[2]!PRGX[[#All],[Proveedor]],1,FALSE)</f>
        <v>#REF!</v>
      </c>
    </row>
    <row r="659" spans="1:26" x14ac:dyDescent="0.25">
      <c r="A659" s="25">
        <v>3604</v>
      </c>
      <c r="B659" s="25" t="s">
        <v>521</v>
      </c>
      <c r="C659" s="26">
        <v>8910</v>
      </c>
      <c r="D659" s="27">
        <v>121012489.41</v>
      </c>
      <c r="E659" s="27">
        <v>113526728.69</v>
      </c>
      <c r="F659" s="27">
        <v>7485760.7199999997</v>
      </c>
      <c r="G659" s="27">
        <f>VLOOKUP(A659,'[1]saldos al 26May26'!$C$2:$I$1010,7,FALSE)</f>
        <v>-943196.05</v>
      </c>
      <c r="H659" s="27"/>
      <c r="I659" s="28"/>
      <c r="J659" s="29"/>
      <c r="K659" s="25" t="s">
        <v>29</v>
      </c>
      <c r="L659" s="25" t="s">
        <v>30</v>
      </c>
      <c r="M659" s="25" t="s">
        <v>55</v>
      </c>
      <c r="N659" s="25"/>
      <c r="O659" t="s">
        <v>51</v>
      </c>
      <c r="P659" s="32">
        <v>-266007.62</v>
      </c>
      <c r="Q659" s="30">
        <v>13160.4</v>
      </c>
      <c r="R659" s="30"/>
      <c r="S659" s="30" t="s">
        <v>63</v>
      </c>
      <c r="T659" t="s">
        <v>33</v>
      </c>
      <c r="U659" s="31">
        <v>0</v>
      </c>
      <c r="V659" t="s">
        <v>42</v>
      </c>
      <c r="Y659" t="e">
        <f>VLOOKUP(A659,[2]!PRGX[[#All],[Proveedor]],1,FALSE)</f>
        <v>#REF!</v>
      </c>
    </row>
    <row r="660" spans="1:26" x14ac:dyDescent="0.25">
      <c r="A660" s="25">
        <v>308651</v>
      </c>
      <c r="B660" s="25" t="s">
        <v>688</v>
      </c>
      <c r="C660" s="26">
        <v>1297</v>
      </c>
      <c r="D660" s="27">
        <v>120587278.03</v>
      </c>
      <c r="E660" s="27">
        <v>68885479.539999992</v>
      </c>
      <c r="F660" s="27">
        <v>51701798.490000002</v>
      </c>
      <c r="G660" s="27">
        <f>VLOOKUP(A660,'[1]saldos al 26May26'!$C$2:$I$1010,7,FALSE)</f>
        <v>-9813994.1099999994</v>
      </c>
      <c r="H660" s="27"/>
      <c r="I660" s="28"/>
      <c r="J660" s="29">
        <v>2269586.7178122979</v>
      </c>
      <c r="K660" s="25" t="s">
        <v>40</v>
      </c>
      <c r="L660" s="25" t="s">
        <v>30</v>
      </c>
      <c r="M660" s="25" t="s">
        <v>61</v>
      </c>
      <c r="N660" s="25" t="s">
        <v>87</v>
      </c>
      <c r="O660" t="s">
        <v>87</v>
      </c>
      <c r="P660" s="32">
        <v>-402842.67000000004</v>
      </c>
      <c r="Q660" s="30">
        <v>0</v>
      </c>
      <c r="R660" s="30">
        <v>322839.78000000003</v>
      </c>
      <c r="S660" s="30" t="s">
        <v>33</v>
      </c>
      <c r="T660" t="s">
        <v>33</v>
      </c>
      <c r="U660" s="31" t="s">
        <v>33</v>
      </c>
      <c r="V660" t="s">
        <v>33</v>
      </c>
      <c r="W660" s="43"/>
      <c r="Y660" t="e">
        <f>VLOOKUP(A660,[2]!PRGX[[#All],[Proveedor]],1,FALSE)</f>
        <v>#REF!</v>
      </c>
    </row>
    <row r="661" spans="1:26" x14ac:dyDescent="0.25">
      <c r="A661" s="25">
        <v>558</v>
      </c>
      <c r="B661" s="25" t="s">
        <v>689</v>
      </c>
      <c r="C661" s="26">
        <v>66</v>
      </c>
      <c r="D661" s="27">
        <v>119092505.9524</v>
      </c>
      <c r="E661" s="27">
        <v>91031225.140000001</v>
      </c>
      <c r="F661" s="27">
        <v>28061280.812399998</v>
      </c>
      <c r="G661" s="27">
        <f>VLOOKUP(A661,'[1]saldos al 26May26'!$C$2:$I$1010,7,FALSE)</f>
        <v>-61548.24</v>
      </c>
      <c r="H661" s="27"/>
      <c r="I661" s="28"/>
      <c r="J661" s="29"/>
      <c r="K661" s="25" t="s">
        <v>29</v>
      </c>
      <c r="L661" s="25" t="s">
        <v>30</v>
      </c>
      <c r="M661" s="25" t="s">
        <v>31</v>
      </c>
      <c r="N661" s="25"/>
      <c r="O661" t="s">
        <v>87</v>
      </c>
      <c r="P661" s="30">
        <v>1787002.32</v>
      </c>
      <c r="Q661" s="30">
        <v>0</v>
      </c>
      <c r="R661" s="30"/>
      <c r="S661" s="30" t="s">
        <v>63</v>
      </c>
      <c r="T661" t="s">
        <v>33</v>
      </c>
      <c r="U661" s="31" t="e">
        <v>#N/A</v>
      </c>
      <c r="V661" t="s">
        <v>34</v>
      </c>
      <c r="Y661" t="e">
        <f>VLOOKUP(A661,[2]!PRGX[[#All],[Proveedor]],1,FALSE)</f>
        <v>#REF!</v>
      </c>
    </row>
    <row r="662" spans="1:26" x14ac:dyDescent="0.25">
      <c r="A662" s="25">
        <v>88260</v>
      </c>
      <c r="B662" s="25" t="s">
        <v>690</v>
      </c>
      <c r="C662" s="26">
        <v>456</v>
      </c>
      <c r="D662" s="27">
        <v>119033766.36920001</v>
      </c>
      <c r="E662" s="27">
        <v>81804646.009000003</v>
      </c>
      <c r="F662" s="27">
        <v>37229120.360200003</v>
      </c>
      <c r="G662" s="27">
        <f>VLOOKUP(A662,'[1]saldos al 26May26'!$C$2:$I$1010,7,FALSE)</f>
        <v>-2568392.41</v>
      </c>
      <c r="H662" s="27"/>
      <c r="I662" s="28"/>
      <c r="J662" s="29"/>
      <c r="K662" s="25" t="s">
        <v>29</v>
      </c>
      <c r="L662" s="25" t="s">
        <v>30</v>
      </c>
      <c r="M662" s="25" t="s">
        <v>50</v>
      </c>
      <c r="N662" s="25"/>
      <c r="O662" t="s">
        <v>80</v>
      </c>
      <c r="P662" s="32">
        <v>-5180.9400000000005</v>
      </c>
      <c r="Q662" s="30">
        <v>0</v>
      </c>
      <c r="R662" s="30">
        <v>44113.49</v>
      </c>
      <c r="S662" s="30" t="s">
        <v>33</v>
      </c>
      <c r="T662" t="s">
        <v>33</v>
      </c>
      <c r="U662" s="31" t="s">
        <v>33</v>
      </c>
      <c r="V662" t="s">
        <v>33</v>
      </c>
      <c r="Y662" t="e">
        <f>VLOOKUP(A662,[2]!PRGX[[#All],[Proveedor]],1,FALSE)</f>
        <v>#REF!</v>
      </c>
    </row>
    <row r="663" spans="1:26" x14ac:dyDescent="0.25">
      <c r="A663" s="25">
        <v>304100</v>
      </c>
      <c r="B663" s="25" t="s">
        <v>691</v>
      </c>
      <c r="C663" s="26">
        <v>5529</v>
      </c>
      <c r="D663" s="27">
        <v>118730805.05</v>
      </c>
      <c r="E663" s="27">
        <v>111697701.22</v>
      </c>
      <c r="F663" s="27">
        <v>7033103.8300000001</v>
      </c>
      <c r="G663" s="27">
        <f>VLOOKUP(A663,'[1]saldos al 26May26'!$C$2:$I$1010,7,FALSE)</f>
        <v>-296099.28000000003</v>
      </c>
      <c r="H663" s="27"/>
      <c r="I663" s="28"/>
      <c r="J663" s="29"/>
      <c r="K663" s="25" t="s">
        <v>29</v>
      </c>
      <c r="L663" s="25" t="s">
        <v>30</v>
      </c>
      <c r="M663" s="25" t="s">
        <v>50</v>
      </c>
      <c r="N663" s="25"/>
      <c r="O663" t="s">
        <v>80</v>
      </c>
      <c r="P663" s="30">
        <v>4051.9400000000005</v>
      </c>
      <c r="Q663" s="30">
        <v>18906.400000000001</v>
      </c>
      <c r="R663" s="30"/>
      <c r="S663" s="30" t="s">
        <v>33</v>
      </c>
      <c r="T663" t="s">
        <v>33</v>
      </c>
      <c r="U663" s="31" t="e">
        <v>#N/A</v>
      </c>
      <c r="V663" t="s">
        <v>34</v>
      </c>
      <c r="Y663" t="e">
        <f>VLOOKUP(A663,[2]!PRGX[[#All],[Proveedor]],1,FALSE)</f>
        <v>#REF!</v>
      </c>
    </row>
    <row r="664" spans="1:26" x14ac:dyDescent="0.25">
      <c r="A664" s="52">
        <v>327080</v>
      </c>
      <c r="B664" s="52" t="s">
        <v>692</v>
      </c>
      <c r="C664" s="53">
        <v>10165</v>
      </c>
      <c r="D664" s="54">
        <v>118269917.16</v>
      </c>
      <c r="E664" s="27">
        <v>87070014.179999992</v>
      </c>
      <c r="F664" s="27">
        <v>31199902.98</v>
      </c>
      <c r="G664" s="54">
        <f>VLOOKUP(A664,'[1]saldos al 26May26'!$C$2:$I$1010,7,FALSE)</f>
        <v>-5202265.7</v>
      </c>
      <c r="H664" s="54"/>
      <c r="I664" s="55"/>
      <c r="J664" s="56">
        <v>403758.08638330747</v>
      </c>
      <c r="K664" s="52" t="s">
        <v>40</v>
      </c>
      <c r="L664" s="52" t="s">
        <v>30</v>
      </c>
      <c r="M664" s="52" t="s">
        <v>50</v>
      </c>
      <c r="N664" s="52" t="s">
        <v>36</v>
      </c>
      <c r="O664" s="57" t="s">
        <v>36</v>
      </c>
      <c r="P664" s="59">
        <v>-212884.69</v>
      </c>
      <c r="Q664" s="58">
        <v>-12077.099999999999</v>
      </c>
      <c r="R664" s="30"/>
      <c r="S664" s="30" t="e">
        <v>#N/A</v>
      </c>
      <c r="T664" s="57" t="s">
        <v>34</v>
      </c>
      <c r="U664" s="31">
        <v>0</v>
      </c>
      <c r="V664" s="57" t="s">
        <v>42</v>
      </c>
      <c r="X664" t="s">
        <v>43</v>
      </c>
      <c r="Y664" t="e">
        <f>VLOOKUP(A664,[2]!PRGX[[#All],[Proveedor]],1,FALSE)</f>
        <v>#REF!</v>
      </c>
    </row>
    <row r="665" spans="1:26" x14ac:dyDescent="0.25">
      <c r="A665" s="25">
        <v>250113</v>
      </c>
      <c r="B665" s="25" t="s">
        <v>693</v>
      </c>
      <c r="C665" s="26">
        <v>1454</v>
      </c>
      <c r="D665" s="27">
        <v>118090493.12</v>
      </c>
      <c r="E665" s="27">
        <v>111813442.12</v>
      </c>
      <c r="F665" s="27">
        <v>6277051</v>
      </c>
      <c r="G665" s="27">
        <f>VLOOKUP(A665,'[1]saldos al 26May26'!$C$2:$I$1010,7,FALSE)</f>
        <v>-197144.32000000001</v>
      </c>
      <c r="H665" s="27"/>
      <c r="I665" s="28"/>
      <c r="J665" s="29">
        <v>106433.39204239919</v>
      </c>
      <c r="K665" s="25" t="s">
        <v>29</v>
      </c>
      <c r="L665" s="25" t="s">
        <v>30</v>
      </c>
      <c r="M665" s="25" t="s">
        <v>31</v>
      </c>
      <c r="N665" s="25"/>
      <c r="O665" t="s">
        <v>45</v>
      </c>
      <c r="P665" s="32">
        <v>-631724.49</v>
      </c>
      <c r="Q665" s="30">
        <v>0</v>
      </c>
      <c r="R665" s="30">
        <v>8648.31</v>
      </c>
      <c r="S665" s="30" t="s">
        <v>63</v>
      </c>
      <c r="T665" t="s">
        <v>33</v>
      </c>
      <c r="U665" s="31" t="e">
        <v>#N/A</v>
      </c>
      <c r="V665" t="s">
        <v>34</v>
      </c>
      <c r="Y665" t="e">
        <f>VLOOKUP(A665,[2]!PRGX[[#All],[Proveedor]],1,FALSE)</f>
        <v>#REF!</v>
      </c>
    </row>
    <row r="666" spans="1:26" x14ac:dyDescent="0.25">
      <c r="A666" s="25">
        <v>25528</v>
      </c>
      <c r="B666" s="25" t="s">
        <v>694</v>
      </c>
      <c r="C666" s="26">
        <v>41093</v>
      </c>
      <c r="D666" s="27">
        <v>118050773.23</v>
      </c>
      <c r="E666" s="27">
        <v>105250695.12</v>
      </c>
      <c r="F666" s="27">
        <v>12800078.109999999</v>
      </c>
      <c r="G666" s="27">
        <f>VLOOKUP(A666,'[1]saldos al 26May26'!$C$2:$I$1010,7,FALSE)</f>
        <v>-1819059.07</v>
      </c>
      <c r="H666" s="27"/>
      <c r="I666" s="28"/>
      <c r="J666" s="29">
        <v>2108504.6306726206</v>
      </c>
      <c r="K666" s="25" t="s">
        <v>40</v>
      </c>
      <c r="L666" s="25" t="s">
        <v>30</v>
      </c>
      <c r="M666" s="25" t="s">
        <v>61</v>
      </c>
      <c r="N666" s="25" t="s">
        <v>32</v>
      </c>
      <c r="O666" t="s">
        <v>32</v>
      </c>
      <c r="P666" s="32">
        <v>-40567.850000000006</v>
      </c>
      <c r="Q666" s="30">
        <v>1573989.62</v>
      </c>
      <c r="R666" s="30"/>
      <c r="S666" s="30" t="s">
        <v>63</v>
      </c>
      <c r="T666" t="s">
        <v>33</v>
      </c>
      <c r="U666" s="31" t="s">
        <v>33</v>
      </c>
      <c r="V666" t="s">
        <v>33</v>
      </c>
      <c r="Y666" t="e">
        <f>VLOOKUP(A666,[2]!PRGX[[#All],[Proveedor]],1,FALSE)</f>
        <v>#REF!</v>
      </c>
    </row>
    <row r="667" spans="1:26" x14ac:dyDescent="0.25">
      <c r="A667" s="25">
        <v>88815</v>
      </c>
      <c r="B667" s="25" t="s">
        <v>695</v>
      </c>
      <c r="C667" s="26">
        <v>4380</v>
      </c>
      <c r="D667" s="27">
        <v>117495337.87</v>
      </c>
      <c r="E667" s="27">
        <v>107719906.14</v>
      </c>
      <c r="F667" s="27">
        <v>9775431.7300000004</v>
      </c>
      <c r="G667" s="27">
        <f>VLOOKUP(A667,'[1]saldos al 26May26'!$C$2:$I$1010,7,FALSE)</f>
        <v>545938.29</v>
      </c>
      <c r="H667" s="39" t="s">
        <v>54</v>
      </c>
      <c r="I667" s="28"/>
      <c r="J667" s="29"/>
      <c r="K667" s="25" t="s">
        <v>29</v>
      </c>
      <c r="L667" s="25" t="s">
        <v>30</v>
      </c>
      <c r="M667" s="36" t="s">
        <v>55</v>
      </c>
      <c r="N667" s="25"/>
      <c r="O667" t="s">
        <v>38</v>
      </c>
      <c r="P667" s="32">
        <v>-4344250.6800000006</v>
      </c>
      <c r="Q667" s="30">
        <v>309854.5</v>
      </c>
      <c r="R667" s="30">
        <v>2387027.59</v>
      </c>
      <c r="S667" s="30" t="s">
        <v>33</v>
      </c>
      <c r="T667" t="s">
        <v>33</v>
      </c>
      <c r="U667" s="31" t="e">
        <v>#N/A</v>
      </c>
      <c r="V667" t="s">
        <v>34</v>
      </c>
      <c r="Y667" t="e">
        <f>VLOOKUP(A667,[2]!PRGX[[#All],[Proveedor]],1,FALSE)</f>
        <v>#REF!</v>
      </c>
    </row>
    <row r="668" spans="1:26" x14ac:dyDescent="0.25">
      <c r="A668" s="25">
        <v>24017</v>
      </c>
      <c r="B668" s="25" t="s">
        <v>696</v>
      </c>
      <c r="C668" s="26">
        <v>1383</v>
      </c>
      <c r="D668" s="27">
        <v>116906897.5</v>
      </c>
      <c r="E668" s="27">
        <v>100652432.5</v>
      </c>
      <c r="F668" s="27">
        <v>16254465</v>
      </c>
      <c r="G668" s="27">
        <f>VLOOKUP(A668,'[1]saldos al 26May26'!$C$2:$I$1010,7,FALSE)</f>
        <v>-542670.52</v>
      </c>
      <c r="H668" s="27"/>
      <c r="I668" s="28"/>
      <c r="J668" s="29"/>
      <c r="K668" s="25" t="s">
        <v>29</v>
      </c>
      <c r="L668" s="25" t="s">
        <v>30</v>
      </c>
      <c r="M668" s="25" t="s">
        <v>31</v>
      </c>
      <c r="N668" s="25"/>
      <c r="O668" t="s">
        <v>32</v>
      </c>
      <c r="P668" s="32">
        <v>-3513294.32</v>
      </c>
      <c r="Q668" s="30">
        <v>0</v>
      </c>
      <c r="R668" s="30">
        <v>87228.11</v>
      </c>
      <c r="S668" s="30" t="s">
        <v>63</v>
      </c>
      <c r="T668" t="s">
        <v>33</v>
      </c>
      <c r="U668" s="31" t="e">
        <v>#N/A</v>
      </c>
      <c r="V668" t="s">
        <v>34</v>
      </c>
      <c r="Y668" t="e">
        <f>VLOOKUP(A668,[2]!PRGX[[#All],[Proveedor]],1,FALSE)</f>
        <v>#REF!</v>
      </c>
    </row>
    <row r="669" spans="1:26" x14ac:dyDescent="0.25">
      <c r="A669" s="25">
        <v>318980</v>
      </c>
      <c r="B669" s="25" t="s">
        <v>697</v>
      </c>
      <c r="C669" s="26">
        <v>21525</v>
      </c>
      <c r="D669" s="27">
        <v>116733419.44</v>
      </c>
      <c r="E669" s="27">
        <v>103645097.59999999</v>
      </c>
      <c r="F669" s="27">
        <v>13088321.84</v>
      </c>
      <c r="G669" s="27">
        <f>VLOOKUP(A669,'[1]saldos al 26May26'!$C$2:$I$1010,7,FALSE)</f>
        <v>-276458.07</v>
      </c>
      <c r="H669" s="27"/>
      <c r="I669" s="28"/>
      <c r="J669" s="29"/>
      <c r="K669" s="25" t="s">
        <v>29</v>
      </c>
      <c r="L669" s="25" t="s">
        <v>30</v>
      </c>
      <c r="M669" s="25" t="s">
        <v>31</v>
      </c>
      <c r="N669" s="25"/>
      <c r="O669" t="s">
        <v>36</v>
      </c>
      <c r="P669" s="32">
        <v>-137499.34</v>
      </c>
      <c r="Q669" s="30">
        <v>19010.509999999998</v>
      </c>
      <c r="R669" s="30">
        <v>94054.98</v>
      </c>
      <c r="S669" s="30" t="s">
        <v>63</v>
      </c>
      <c r="T669" t="s">
        <v>33</v>
      </c>
      <c r="U669" s="31">
        <v>0</v>
      </c>
      <c r="V669" t="s">
        <v>42</v>
      </c>
      <c r="Y669" t="e">
        <f>VLOOKUP(A669,[2]!PRGX[[#All],[Proveedor]],1,FALSE)</f>
        <v>#REF!</v>
      </c>
    </row>
    <row r="670" spans="1:26" x14ac:dyDescent="0.25">
      <c r="A670" s="52">
        <v>25018</v>
      </c>
      <c r="B670" s="52" t="s">
        <v>698</v>
      </c>
      <c r="C670" s="53">
        <v>22438</v>
      </c>
      <c r="D670" s="54">
        <v>115779723.778</v>
      </c>
      <c r="E670" s="54">
        <v>40888688.859999999</v>
      </c>
      <c r="F670" s="54">
        <v>74891034.917999998</v>
      </c>
      <c r="G670" s="54">
        <f>VLOOKUP(A670,'[1]saldos al 26May26'!$C$2:$I$1010,7,FALSE)</f>
        <v>-17048611.5</v>
      </c>
      <c r="H670" s="54"/>
      <c r="I670" s="55"/>
      <c r="J670" s="56">
        <v>2109004.1040079789</v>
      </c>
      <c r="K670" s="52" t="s">
        <v>40</v>
      </c>
      <c r="L670" s="52" t="s">
        <v>30</v>
      </c>
      <c r="M670" s="52" t="s">
        <v>59</v>
      </c>
      <c r="N670" s="52" t="s">
        <v>47</v>
      </c>
      <c r="O670" s="57" t="s">
        <v>47</v>
      </c>
      <c r="P670" s="59">
        <v>-320741.13</v>
      </c>
      <c r="Q670" s="58">
        <v>0</v>
      </c>
      <c r="R670" s="30"/>
      <c r="S670" s="30" t="s">
        <v>63</v>
      </c>
      <c r="T670" s="57" t="s">
        <v>33</v>
      </c>
      <c r="U670" s="31" t="s">
        <v>33</v>
      </c>
      <c r="V670" t="s">
        <v>33</v>
      </c>
      <c r="Y670" t="e">
        <f>VLOOKUP(A670,[2]!PRGX[[#All],[Proveedor]],1,FALSE)</f>
        <v>#REF!</v>
      </c>
    </row>
    <row r="671" spans="1:26" x14ac:dyDescent="0.25">
      <c r="A671" s="25">
        <v>58958</v>
      </c>
      <c r="B671" s="25" t="s">
        <v>428</v>
      </c>
      <c r="C671" s="26">
        <v>44393</v>
      </c>
      <c r="D671" s="27">
        <v>115279018.38</v>
      </c>
      <c r="E671" s="27">
        <v>100730662.02</v>
      </c>
      <c r="F671" s="27">
        <v>14548356.359999999</v>
      </c>
      <c r="G671" s="27">
        <f>VLOOKUP(A671,'[1]saldos al 26May26'!$C$2:$I$1010,7,FALSE)</f>
        <v>-55739.93</v>
      </c>
      <c r="H671" s="27"/>
      <c r="I671" s="28"/>
      <c r="J671" s="29"/>
      <c r="K671" s="25" t="s">
        <v>29</v>
      </c>
      <c r="L671" s="25" t="s">
        <v>30</v>
      </c>
      <c r="M671" s="25" t="s">
        <v>50</v>
      </c>
      <c r="N671" s="25"/>
      <c r="O671" t="s">
        <v>45</v>
      </c>
      <c r="P671" s="30">
        <v>81723.459999999905</v>
      </c>
      <c r="Q671" s="30">
        <v>577968.78</v>
      </c>
      <c r="R671" s="30"/>
      <c r="S671" s="30" t="s">
        <v>63</v>
      </c>
      <c r="T671" t="s">
        <v>33</v>
      </c>
      <c r="U671" s="31">
        <v>0</v>
      </c>
      <c r="V671" t="s">
        <v>42</v>
      </c>
      <c r="Y671" t="e">
        <f>VLOOKUP(A671,[2]!PRGX[[#All],[Proveedor]],1,FALSE)</f>
        <v>#REF!</v>
      </c>
    </row>
    <row r="672" spans="1:26" x14ac:dyDescent="0.25">
      <c r="A672" s="25">
        <v>341784</v>
      </c>
      <c r="B672" s="25" t="s">
        <v>699</v>
      </c>
      <c r="C672" s="26">
        <v>16868</v>
      </c>
      <c r="D672" s="27">
        <v>115237565.41</v>
      </c>
      <c r="E672" s="27">
        <v>59408028.359999999</v>
      </c>
      <c r="F672" s="27">
        <v>55829537.049999997</v>
      </c>
      <c r="G672" s="27">
        <f>VLOOKUP(A672,'[1]saldos al 26May26'!$C$2:$I$1010,7,FALSE)</f>
        <v>-729806.02</v>
      </c>
      <c r="H672" s="27"/>
      <c r="I672" s="28"/>
      <c r="J672" s="29"/>
      <c r="K672" s="25" t="s">
        <v>40</v>
      </c>
      <c r="L672" s="25" t="s">
        <v>30</v>
      </c>
      <c r="M672" s="25" t="s">
        <v>55</v>
      </c>
      <c r="N672" s="25" t="s">
        <v>45</v>
      </c>
      <c r="O672" t="s">
        <v>45</v>
      </c>
      <c r="P672" s="32">
        <v>-96403.64</v>
      </c>
      <c r="Q672" s="30">
        <v>3150</v>
      </c>
      <c r="R672" s="30"/>
      <c r="S672" s="30" t="e">
        <v>#N/A</v>
      </c>
      <c r="T672" t="s">
        <v>34</v>
      </c>
      <c r="U672" s="31" t="e">
        <v>#N/A</v>
      </c>
      <c r="V672" t="s">
        <v>34</v>
      </c>
      <c r="Y672" t="e">
        <f>VLOOKUP(A672,[2]!PRGX[[#All],[Proveedor]],1,FALSE)</f>
        <v>#REF!</v>
      </c>
    </row>
    <row r="673" spans="1:26" x14ac:dyDescent="0.25">
      <c r="A673" s="25">
        <v>4305</v>
      </c>
      <c r="B673" s="25" t="s">
        <v>700</v>
      </c>
      <c r="C673" s="26">
        <v>16371</v>
      </c>
      <c r="D673" s="27">
        <v>113393833.91</v>
      </c>
      <c r="E673" s="27">
        <v>93018175.479999989</v>
      </c>
      <c r="F673" s="27">
        <v>20375658.43</v>
      </c>
      <c r="G673" s="27">
        <f>VLOOKUP(A673,'[1]saldos al 26May26'!$C$2:$I$1010,7,FALSE)</f>
        <v>-1910514.69</v>
      </c>
      <c r="H673" s="27"/>
      <c r="I673" s="28"/>
      <c r="J673" s="29"/>
      <c r="K673" s="25" t="s">
        <v>29</v>
      </c>
      <c r="L673" s="25" t="s">
        <v>30</v>
      </c>
      <c r="M673" s="25" t="s">
        <v>50</v>
      </c>
      <c r="N673" s="25"/>
      <c r="O673" t="s">
        <v>45</v>
      </c>
      <c r="P673" s="32">
        <v>-33259.65</v>
      </c>
      <c r="Q673" s="30">
        <v>0</v>
      </c>
      <c r="R673" s="30">
        <v>149932.65</v>
      </c>
      <c r="S673" s="30" t="s">
        <v>63</v>
      </c>
      <c r="T673" t="s">
        <v>33</v>
      </c>
      <c r="U673" s="31" t="e">
        <v>#N/A</v>
      </c>
      <c r="V673" t="s">
        <v>34</v>
      </c>
      <c r="Y673" t="e">
        <f>VLOOKUP(A673,[2]!PRGX[[#All],[Proveedor]],1,FALSE)</f>
        <v>#REF!</v>
      </c>
    </row>
    <row r="674" spans="1:26" x14ac:dyDescent="0.25">
      <c r="A674" s="25">
        <v>381418</v>
      </c>
      <c r="B674" s="25" t="s">
        <v>701</v>
      </c>
      <c r="C674" s="26">
        <v>48017</v>
      </c>
      <c r="D674" s="27">
        <v>113225874.8</v>
      </c>
      <c r="E674" s="27">
        <v>87797698.629999995</v>
      </c>
      <c r="F674" s="27">
        <v>25428176.170000002</v>
      </c>
      <c r="G674" s="27">
        <f>VLOOKUP(A674,'[1]saldos al 26May26'!$C$2:$I$1010,7,FALSE)</f>
        <v>-1744961.11</v>
      </c>
      <c r="H674" s="27"/>
      <c r="I674" s="28"/>
      <c r="J674" s="29">
        <v>96040.610000000015</v>
      </c>
      <c r="K674" s="25" t="s">
        <v>40</v>
      </c>
      <c r="L674" s="25" t="s">
        <v>30</v>
      </c>
      <c r="M674" s="25" t="s">
        <v>31</v>
      </c>
      <c r="N674" s="25" t="s">
        <v>87</v>
      </c>
      <c r="O674" t="s">
        <v>87</v>
      </c>
      <c r="P674" s="30">
        <v>297756.81</v>
      </c>
      <c r="Q674" s="30">
        <v>4210.2</v>
      </c>
      <c r="R674" s="30">
        <v>30000</v>
      </c>
      <c r="S674" s="30" t="e">
        <v>#N/A</v>
      </c>
      <c r="T674" t="s">
        <v>34</v>
      </c>
      <c r="U674" s="31" t="e">
        <v>#N/A</v>
      </c>
      <c r="V674" t="s">
        <v>34</v>
      </c>
      <c r="Y674" t="e">
        <f>VLOOKUP(A674,[2]!PRGX[[#All],[Proveedor]],1,FALSE)</f>
        <v>#REF!</v>
      </c>
    </row>
    <row r="675" spans="1:26" x14ac:dyDescent="0.25">
      <c r="A675" s="25">
        <v>395350</v>
      </c>
      <c r="B675" s="25" t="s">
        <v>702</v>
      </c>
      <c r="C675" s="26">
        <v>597</v>
      </c>
      <c r="D675" s="27">
        <v>112597103.64</v>
      </c>
      <c r="E675" s="27">
        <v>97213163.640000001</v>
      </c>
      <c r="F675" s="27">
        <v>15383940</v>
      </c>
      <c r="G675" s="27">
        <f>VLOOKUP(A675,'[1]saldos al 26May26'!$C$2:$I$1010,7,FALSE)</f>
        <v>-1643982.33</v>
      </c>
      <c r="H675" s="27"/>
      <c r="I675" s="28"/>
      <c r="J675" s="29">
        <v>960587.50239958719</v>
      </c>
      <c r="K675" s="25" t="s">
        <v>29</v>
      </c>
      <c r="L675" s="25" t="s">
        <v>30</v>
      </c>
      <c r="M675" s="25" t="s">
        <v>31</v>
      </c>
      <c r="N675" s="25"/>
      <c r="O675" t="s">
        <v>67</v>
      </c>
      <c r="P675" s="30">
        <v>12064</v>
      </c>
      <c r="Q675" s="30">
        <v>0</v>
      </c>
      <c r="R675" s="30"/>
      <c r="S675" s="30" t="s">
        <v>63</v>
      </c>
      <c r="T675" t="s">
        <v>33</v>
      </c>
      <c r="U675" s="31" t="e">
        <v>#N/A</v>
      </c>
      <c r="V675" t="s">
        <v>34</v>
      </c>
      <c r="Y675" t="e">
        <f>VLOOKUP(A675,[2]!PRGX[[#All],[Proveedor]],1,FALSE)</f>
        <v>#REF!</v>
      </c>
    </row>
    <row r="676" spans="1:26" x14ac:dyDescent="0.25">
      <c r="A676" s="25">
        <v>92874</v>
      </c>
      <c r="B676" s="25" t="s">
        <v>703</v>
      </c>
      <c r="C676" s="26">
        <v>476</v>
      </c>
      <c r="D676" s="27">
        <v>112522798.04000001</v>
      </c>
      <c r="E676" s="27">
        <v>51421335.170000009</v>
      </c>
      <c r="F676" s="27">
        <v>61101462.869999997</v>
      </c>
      <c r="G676" s="27">
        <f>VLOOKUP(A676,'[1]saldos al 26May26'!$C$2:$I$1010,7,FALSE)</f>
        <v>-8291414.5</v>
      </c>
      <c r="H676" s="27"/>
      <c r="I676" s="28"/>
      <c r="J676" s="29"/>
      <c r="K676" s="25" t="s">
        <v>40</v>
      </c>
      <c r="L676" s="25" t="s">
        <v>30</v>
      </c>
      <c r="M676" s="25" t="s">
        <v>55</v>
      </c>
      <c r="N676" s="25" t="s">
        <v>80</v>
      </c>
      <c r="O676" t="s">
        <v>80</v>
      </c>
      <c r="P676" s="32">
        <v>-1934465.74</v>
      </c>
      <c r="Q676" s="30">
        <v>0</v>
      </c>
      <c r="R676" s="30">
        <v>1794031.8199999998</v>
      </c>
      <c r="S676" s="30" t="s">
        <v>33</v>
      </c>
      <c r="T676" s="57" t="s">
        <v>33</v>
      </c>
      <c r="U676" s="31" t="s">
        <v>33</v>
      </c>
      <c r="V676" t="s">
        <v>33</v>
      </c>
      <c r="Y676" t="e">
        <f>VLOOKUP(A676,[2]!PRGX[[#All],[Proveedor]],1,FALSE)</f>
        <v>#REF!</v>
      </c>
    </row>
    <row r="677" spans="1:26" x14ac:dyDescent="0.25">
      <c r="A677" s="25">
        <v>65219</v>
      </c>
      <c r="B677" s="25" t="s">
        <v>704</v>
      </c>
      <c r="C677" s="26">
        <v>35531</v>
      </c>
      <c r="D677" s="27">
        <v>112220972.90000001</v>
      </c>
      <c r="E677" s="27">
        <v>95186667.900000006</v>
      </c>
      <c r="F677" s="27">
        <v>17034305</v>
      </c>
      <c r="G677" s="27">
        <f>VLOOKUP(A677,'[1]saldos al 26May26'!$C$2:$I$1010,7,FALSE)</f>
        <v>-6814258.0899999999</v>
      </c>
      <c r="H677" s="27"/>
      <c r="I677" s="28"/>
      <c r="J677" s="29">
        <v>189984.68556870398</v>
      </c>
      <c r="K677" s="25" t="s">
        <v>40</v>
      </c>
      <c r="L677" s="25" t="s">
        <v>30</v>
      </c>
      <c r="M677" s="25" t="s">
        <v>61</v>
      </c>
      <c r="N677" s="25" t="s">
        <v>47</v>
      </c>
      <c r="O677" t="s">
        <v>47</v>
      </c>
      <c r="P677" s="30">
        <v>0</v>
      </c>
      <c r="Q677" s="30">
        <v>0</v>
      </c>
      <c r="R677" s="30">
        <v>418580.84</v>
      </c>
      <c r="S677" s="30" t="s">
        <v>63</v>
      </c>
      <c r="T677" t="s">
        <v>33</v>
      </c>
      <c r="U677" s="31" t="e">
        <v>#N/A</v>
      </c>
      <c r="V677" t="s">
        <v>34</v>
      </c>
      <c r="Y677" t="e">
        <f>VLOOKUP(A677,[2]!PRGX[[#All],[Proveedor]],1,FALSE)</f>
        <v>#REF!</v>
      </c>
    </row>
    <row r="678" spans="1:26" x14ac:dyDescent="0.25">
      <c r="A678" s="25">
        <v>23698</v>
      </c>
      <c r="B678" s="25" t="s">
        <v>705</v>
      </c>
      <c r="C678" s="26">
        <v>30659</v>
      </c>
      <c r="D678" s="27">
        <v>111641168.266</v>
      </c>
      <c r="E678" s="27">
        <v>55131119.681000002</v>
      </c>
      <c r="F678" s="27">
        <v>56510048.585000001</v>
      </c>
      <c r="G678" s="27">
        <f>VLOOKUP(A678,'[1]saldos al 26May26'!$C$2:$I$1010,7,FALSE)</f>
        <v>-8451448.7799999993</v>
      </c>
      <c r="H678" s="27"/>
      <c r="I678" s="28"/>
      <c r="J678" s="29"/>
      <c r="K678" s="25" t="s">
        <v>40</v>
      </c>
      <c r="L678" s="25" t="s">
        <v>30</v>
      </c>
      <c r="M678" s="25" t="s">
        <v>55</v>
      </c>
      <c r="N678" s="25" t="s">
        <v>36</v>
      </c>
      <c r="O678" t="s">
        <v>36</v>
      </c>
      <c r="P678" s="32">
        <v>-86314</v>
      </c>
      <c r="Q678" s="30">
        <v>0</v>
      </c>
      <c r="R678" s="30">
        <v>16528</v>
      </c>
      <c r="S678" s="30" t="e">
        <v>#N/A</v>
      </c>
      <c r="T678" t="s">
        <v>34</v>
      </c>
      <c r="U678" s="31" t="e">
        <v>#N/A</v>
      </c>
      <c r="V678" t="s">
        <v>34</v>
      </c>
      <c r="Y678" t="e">
        <f>VLOOKUP(A678,[2]!PRGX[[#All],[Proveedor]],1,FALSE)</f>
        <v>#REF!</v>
      </c>
    </row>
    <row r="679" spans="1:26" x14ac:dyDescent="0.25">
      <c r="A679" s="25">
        <v>212462</v>
      </c>
      <c r="B679" s="25" t="s">
        <v>337</v>
      </c>
      <c r="C679" s="26">
        <v>9058</v>
      </c>
      <c r="D679" s="27">
        <v>746832609.63999999</v>
      </c>
      <c r="E679" s="27">
        <v>711998397.98000002</v>
      </c>
      <c r="F679" s="27">
        <v>34834211.659999996</v>
      </c>
      <c r="G679" s="27">
        <f>VLOOKUP(A679,'[1]saldos al 26May26'!$C$2:$I$1010,7,FALSE)</f>
        <v>-140185742.94999999</v>
      </c>
      <c r="H679" s="27"/>
      <c r="I679" s="28"/>
      <c r="J679" s="29"/>
      <c r="K679" s="25" t="s">
        <v>29</v>
      </c>
      <c r="L679" s="25" t="s">
        <v>30</v>
      </c>
      <c r="M679" s="25" t="s">
        <v>59</v>
      </c>
      <c r="N679" s="25"/>
      <c r="O679" t="s">
        <v>56</v>
      </c>
      <c r="P679" s="30">
        <v>2064056.8699999999</v>
      </c>
      <c r="Q679" s="30">
        <v>3787242.55</v>
      </c>
      <c r="R679" s="30">
        <v>1287744.1200000001</v>
      </c>
      <c r="S679" s="30" t="s">
        <v>33</v>
      </c>
      <c r="T679" t="s">
        <v>33</v>
      </c>
      <c r="U679" s="31" t="s">
        <v>33</v>
      </c>
      <c r="V679" t="s">
        <v>33</v>
      </c>
      <c r="Y679" t="e">
        <f>VLOOKUP(A679,[2]!PRGX[[#All],[Proveedor]],1,FALSE)</f>
        <v>#REF!</v>
      </c>
    </row>
    <row r="680" spans="1:26" s="42" customFormat="1" x14ac:dyDescent="0.25">
      <c r="A680" s="52">
        <v>208892</v>
      </c>
      <c r="B680" s="52" t="s">
        <v>706</v>
      </c>
      <c r="C680" s="53">
        <v>24866</v>
      </c>
      <c r="D680" s="54">
        <v>110066124.33</v>
      </c>
      <c r="E680" s="54">
        <v>93303067.090000004</v>
      </c>
      <c r="F680" s="54">
        <v>16763057.24</v>
      </c>
      <c r="G680" s="54">
        <f>VLOOKUP(A680,'[1]saldos al 26May26'!$C$2:$I$1010,7,FALSE)</f>
        <v>-4120074.46</v>
      </c>
      <c r="H680" s="54"/>
      <c r="I680" s="55"/>
      <c r="J680" s="56">
        <v>492503.78369288705</v>
      </c>
      <c r="K680" s="52" t="s">
        <v>40</v>
      </c>
      <c r="L680" s="52" t="s">
        <v>30</v>
      </c>
      <c r="M680" s="52" t="s">
        <v>50</v>
      </c>
      <c r="N680" s="52" t="s">
        <v>47</v>
      </c>
      <c r="O680" s="57" t="s">
        <v>47</v>
      </c>
      <c r="P680" s="58">
        <v>83017.77</v>
      </c>
      <c r="Q680" s="58">
        <v>-237219.20000000001</v>
      </c>
      <c r="R680" s="30"/>
      <c r="S680" s="30">
        <v>0</v>
      </c>
      <c r="T680" s="57" t="s">
        <v>34</v>
      </c>
      <c r="U680" s="31">
        <v>0</v>
      </c>
      <c r="V680" s="57" t="s">
        <v>42</v>
      </c>
      <c r="W680"/>
      <c r="X680" t="s">
        <v>43</v>
      </c>
      <c r="Y680" t="e">
        <f>VLOOKUP(A680,[2]!PRGX[[#All],[Proveedor]],1,FALSE)</f>
        <v>#REF!</v>
      </c>
      <c r="Z680"/>
    </row>
    <row r="681" spans="1:26" x14ac:dyDescent="0.25">
      <c r="A681" s="25">
        <v>23914</v>
      </c>
      <c r="B681" s="25" t="s">
        <v>707</v>
      </c>
      <c r="C681" s="26">
        <v>1238</v>
      </c>
      <c r="D681" s="27">
        <v>109650965.745</v>
      </c>
      <c r="E681" s="27">
        <v>54322245.233000003</v>
      </c>
      <c r="F681" s="27">
        <v>55328720.512000002</v>
      </c>
      <c r="G681" s="27">
        <f>VLOOKUP(A681,'[1]saldos al 26May26'!$C$2:$I$1010,7,FALSE)</f>
        <v>-3427528.18</v>
      </c>
      <c r="H681" s="27"/>
      <c r="I681" s="28"/>
      <c r="J681" s="29"/>
      <c r="K681" s="25" t="s">
        <v>40</v>
      </c>
      <c r="L681" s="25" t="s">
        <v>30</v>
      </c>
      <c r="M681" s="25" t="s">
        <v>55</v>
      </c>
      <c r="N681" s="25" t="s">
        <v>32</v>
      </c>
      <c r="O681" t="s">
        <v>32</v>
      </c>
      <c r="P681" s="32">
        <v>-65189.79</v>
      </c>
      <c r="Q681" s="30">
        <v>0</v>
      </c>
      <c r="R681" s="30"/>
      <c r="S681" s="30" t="e">
        <v>#N/A</v>
      </c>
      <c r="T681" t="s">
        <v>34</v>
      </c>
      <c r="U681" s="31" t="e">
        <v>#N/A</v>
      </c>
      <c r="V681" t="s">
        <v>34</v>
      </c>
      <c r="Y681" t="e">
        <f>VLOOKUP(A681,[2]!PRGX[[#All],[Proveedor]],1,FALSE)</f>
        <v>#REF!</v>
      </c>
    </row>
    <row r="682" spans="1:26" x14ac:dyDescent="0.25">
      <c r="A682" s="25">
        <v>24249</v>
      </c>
      <c r="B682" s="25" t="s">
        <v>708</v>
      </c>
      <c r="C682" s="26">
        <v>5423</v>
      </c>
      <c r="D682" s="27">
        <v>109602029.67030001</v>
      </c>
      <c r="E682" s="27">
        <v>52714105.650300004</v>
      </c>
      <c r="F682" s="27">
        <v>56887924.020000003</v>
      </c>
      <c r="G682" s="27">
        <f>VLOOKUP(A682,'[1]saldos al 26May26'!$C$2:$I$1010,7,FALSE)</f>
        <v>-5749076.5999999996</v>
      </c>
      <c r="H682" s="27"/>
      <c r="I682" s="28"/>
      <c r="J682" s="29"/>
      <c r="K682" s="25" t="s">
        <v>40</v>
      </c>
      <c r="L682" s="25" t="s">
        <v>30</v>
      </c>
      <c r="M682" s="25" t="s">
        <v>55</v>
      </c>
      <c r="N682" s="25" t="s">
        <v>38</v>
      </c>
      <c r="O682" t="s">
        <v>38</v>
      </c>
      <c r="P682" s="32">
        <v>-707502.21000000008</v>
      </c>
      <c r="Q682" s="30">
        <v>0</v>
      </c>
      <c r="R682" s="30"/>
      <c r="S682" s="30" t="s">
        <v>33</v>
      </c>
      <c r="T682" s="57" t="s">
        <v>33</v>
      </c>
      <c r="U682" s="31" t="s">
        <v>33</v>
      </c>
      <c r="V682" t="s">
        <v>33</v>
      </c>
      <c r="Y682" t="e">
        <f>VLOOKUP(A682,[2]!PRGX[[#All],[Proveedor]],1,FALSE)</f>
        <v>#REF!</v>
      </c>
    </row>
    <row r="683" spans="1:26" x14ac:dyDescent="0.25">
      <c r="A683" s="25">
        <v>24685</v>
      </c>
      <c r="B683" s="25" t="s">
        <v>709</v>
      </c>
      <c r="C683" s="26">
        <v>8827</v>
      </c>
      <c r="D683" s="27">
        <v>108852146.9425</v>
      </c>
      <c r="E683" s="27">
        <v>52425170.925999992</v>
      </c>
      <c r="F683" s="27">
        <v>56426976.016500004</v>
      </c>
      <c r="G683" s="27">
        <f>VLOOKUP(A683,'[1]saldos al 26May26'!$C$2:$I$1010,7,FALSE)</f>
        <v>-4467307.91</v>
      </c>
      <c r="H683" s="27"/>
      <c r="I683" s="28"/>
      <c r="J683" s="29"/>
      <c r="K683" s="25" t="s">
        <v>40</v>
      </c>
      <c r="L683" s="25" t="s">
        <v>30</v>
      </c>
      <c r="M683" s="25" t="s">
        <v>55</v>
      </c>
      <c r="N683" s="25" t="s">
        <v>67</v>
      </c>
      <c r="O683" t="s">
        <v>67</v>
      </c>
      <c r="P683" s="32">
        <v>-557851.66999999993</v>
      </c>
      <c r="Q683" s="30">
        <v>0</v>
      </c>
      <c r="R683" s="30"/>
      <c r="S683" s="30" t="e">
        <v>#N/A</v>
      </c>
      <c r="T683" t="s">
        <v>34</v>
      </c>
      <c r="U683" s="31" t="e">
        <v>#N/A</v>
      </c>
      <c r="V683" t="s">
        <v>34</v>
      </c>
      <c r="Y683" t="e">
        <f>VLOOKUP(A683,[2]!PRGX[[#All],[Proveedor]],1,FALSE)</f>
        <v>#REF!</v>
      </c>
    </row>
    <row r="684" spans="1:26" x14ac:dyDescent="0.25">
      <c r="A684" s="25">
        <v>381467</v>
      </c>
      <c r="B684" s="25" t="s">
        <v>710</v>
      </c>
      <c r="C684" s="26">
        <v>8426</v>
      </c>
      <c r="D684" s="27">
        <v>108766380.68000001</v>
      </c>
      <c r="E684" s="27">
        <v>76731621.74000001</v>
      </c>
      <c r="F684" s="27">
        <v>32034758.940000001</v>
      </c>
      <c r="G684" s="27">
        <f>VLOOKUP(A684,'[1]saldos al 26May26'!$C$2:$I$1010,7,FALSE)</f>
        <v>-2861781.14</v>
      </c>
      <c r="H684" s="27"/>
      <c r="I684" s="28"/>
      <c r="J684" s="29"/>
      <c r="K684" s="25" t="s">
        <v>29</v>
      </c>
      <c r="L684" s="25" t="s">
        <v>30</v>
      </c>
      <c r="M684" s="25" t="s">
        <v>31</v>
      </c>
      <c r="N684" s="25"/>
      <c r="O684" t="s">
        <v>36</v>
      </c>
      <c r="P684" s="32">
        <v>-238543.74</v>
      </c>
      <c r="Q684" s="30">
        <v>0</v>
      </c>
      <c r="R684" s="30"/>
      <c r="S684" s="30" t="s">
        <v>63</v>
      </c>
      <c r="T684" t="s">
        <v>33</v>
      </c>
      <c r="U684" s="31" t="s">
        <v>33</v>
      </c>
      <c r="V684" t="s">
        <v>33</v>
      </c>
      <c r="Y684" t="e">
        <f>VLOOKUP(A684,[2]!PRGX[[#All],[Proveedor]],1,FALSE)</f>
        <v>#REF!</v>
      </c>
    </row>
    <row r="685" spans="1:26" x14ac:dyDescent="0.25">
      <c r="A685" s="25">
        <v>9275</v>
      </c>
      <c r="B685" s="25" t="s">
        <v>711</v>
      </c>
      <c r="C685" s="26">
        <v>35867</v>
      </c>
      <c r="D685" s="27">
        <v>108722033.66</v>
      </c>
      <c r="E685" s="27">
        <v>90133728.599999994</v>
      </c>
      <c r="F685" s="27">
        <v>18588305.059999999</v>
      </c>
      <c r="G685" s="27">
        <f>VLOOKUP(A685,'[1]saldos al 26May26'!$C$2:$I$1010,7,FALSE)</f>
        <v>-10484270.42</v>
      </c>
      <c r="H685" s="27"/>
      <c r="I685" s="28"/>
      <c r="J685" s="29"/>
      <c r="K685" s="25" t="s">
        <v>29</v>
      </c>
      <c r="L685" s="25" t="s">
        <v>30</v>
      </c>
      <c r="M685" s="25" t="s">
        <v>31</v>
      </c>
      <c r="N685" s="25"/>
      <c r="O685" t="s">
        <v>47</v>
      </c>
      <c r="P685" s="30">
        <v>630971.11</v>
      </c>
      <c r="Q685" s="30">
        <v>745475.09</v>
      </c>
      <c r="R685" s="30">
        <v>12563.52</v>
      </c>
      <c r="S685" s="30" t="s">
        <v>63</v>
      </c>
      <c r="T685" t="s">
        <v>33</v>
      </c>
      <c r="U685" s="31">
        <v>0</v>
      </c>
      <c r="V685" t="s">
        <v>42</v>
      </c>
      <c r="Y685" t="e">
        <f>VLOOKUP(A685,[2]!PRGX[[#All],[Proveedor]],1,FALSE)</f>
        <v>#REF!</v>
      </c>
    </row>
    <row r="686" spans="1:26" x14ac:dyDescent="0.25">
      <c r="A686" s="25">
        <v>35519</v>
      </c>
      <c r="B686" s="25" t="s">
        <v>712</v>
      </c>
      <c r="C686" s="26">
        <v>73258</v>
      </c>
      <c r="D686" s="27">
        <v>108616164.5311</v>
      </c>
      <c r="E686" s="27">
        <v>92517553.769700006</v>
      </c>
      <c r="F686" s="27">
        <v>16098610.761399999</v>
      </c>
      <c r="G686" s="27">
        <f>VLOOKUP(A686,'[1]saldos al 26May26'!$C$2:$I$1010,7,FALSE)</f>
        <v>-1234700.93</v>
      </c>
      <c r="H686" s="27"/>
      <c r="I686" s="28"/>
      <c r="J686" s="29">
        <v>176144.90727224399</v>
      </c>
      <c r="K686" s="25" t="s">
        <v>40</v>
      </c>
      <c r="L686" s="25" t="s">
        <v>30</v>
      </c>
      <c r="M686" s="25" t="s">
        <v>31</v>
      </c>
      <c r="N686" s="25" t="s">
        <v>47</v>
      </c>
      <c r="O686" t="s">
        <v>47</v>
      </c>
      <c r="P686" s="32">
        <v>-3972629.69</v>
      </c>
      <c r="Q686" s="30">
        <v>118428.06</v>
      </c>
      <c r="R686" s="30"/>
      <c r="S686" s="30" t="e">
        <v>#N/A</v>
      </c>
      <c r="T686" t="s">
        <v>34</v>
      </c>
      <c r="U686" s="31" t="e">
        <v>#N/A</v>
      </c>
      <c r="V686" t="s">
        <v>34</v>
      </c>
      <c r="Y686" t="e">
        <f>VLOOKUP(A686,[2]!PRGX[[#All],[Proveedor]],1,FALSE)</f>
        <v>#REF!</v>
      </c>
    </row>
    <row r="687" spans="1:26" x14ac:dyDescent="0.25">
      <c r="A687" s="52">
        <v>97378</v>
      </c>
      <c r="B687" s="52" t="s">
        <v>713</v>
      </c>
      <c r="C687" s="53">
        <v>1594</v>
      </c>
      <c r="D687" s="54">
        <v>108407870.59999999</v>
      </c>
      <c r="E687" s="27">
        <v>71987193</v>
      </c>
      <c r="F687" s="27">
        <v>36420677.600000001</v>
      </c>
      <c r="G687" s="54">
        <f>VLOOKUP(A687,'[1]saldos al 26May26'!$C$2:$I$1010,7,FALSE)</f>
        <v>-5451242.6100000003</v>
      </c>
      <c r="H687" s="54"/>
      <c r="I687" s="55"/>
      <c r="J687" s="56">
        <v>1704766.2262195938</v>
      </c>
      <c r="K687" s="52" t="s">
        <v>29</v>
      </c>
      <c r="L687" s="52" t="s">
        <v>30</v>
      </c>
      <c r="M687" s="52" t="s">
        <v>59</v>
      </c>
      <c r="N687" s="52" t="s">
        <v>67</v>
      </c>
      <c r="O687" s="57" t="s">
        <v>67</v>
      </c>
      <c r="P687" s="59">
        <v>-273338.3</v>
      </c>
      <c r="Q687" s="58">
        <v>0</v>
      </c>
      <c r="R687" s="30"/>
      <c r="S687" s="30" t="s">
        <v>63</v>
      </c>
      <c r="T687" s="57" t="s">
        <v>33</v>
      </c>
      <c r="U687" s="31">
        <v>0</v>
      </c>
      <c r="V687" s="57" t="s">
        <v>42</v>
      </c>
      <c r="Y687" t="e">
        <f>VLOOKUP(A687,[2]!PRGX[[#All],[Proveedor]],1,FALSE)</f>
        <v>#REF!</v>
      </c>
    </row>
    <row r="688" spans="1:26" x14ac:dyDescent="0.25">
      <c r="A688" s="52">
        <v>76067</v>
      </c>
      <c r="B688" s="52" t="s">
        <v>714</v>
      </c>
      <c r="C688" s="53">
        <v>65470</v>
      </c>
      <c r="D688" s="54">
        <v>108147823.92</v>
      </c>
      <c r="E688" s="27">
        <v>85223188.760000005</v>
      </c>
      <c r="F688" s="27">
        <v>22924635.16</v>
      </c>
      <c r="G688" s="54">
        <f>VLOOKUP(A688,'[1]saldos al 26May26'!$C$2:$I$1010,7,FALSE)</f>
        <v>-9996455.1600000001</v>
      </c>
      <c r="H688" s="54"/>
      <c r="I688" s="55"/>
      <c r="J688" s="56">
        <v>834951.18297377124</v>
      </c>
      <c r="K688" s="52" t="s">
        <v>40</v>
      </c>
      <c r="L688" s="52" t="s">
        <v>30</v>
      </c>
      <c r="M688" s="52" t="s">
        <v>50</v>
      </c>
      <c r="N688" s="52" t="s">
        <v>96</v>
      </c>
      <c r="O688" s="57" t="s">
        <v>96</v>
      </c>
      <c r="P688" s="59">
        <v>-16963.599999999999</v>
      </c>
      <c r="Q688" s="58">
        <v>0</v>
      </c>
      <c r="R688" s="30">
        <v>520544.84</v>
      </c>
      <c r="S688" s="30" t="e">
        <v>#N/A</v>
      </c>
      <c r="T688" s="57" t="s">
        <v>34</v>
      </c>
      <c r="U688" s="31" t="e">
        <v>#N/A</v>
      </c>
      <c r="V688" s="57" t="s">
        <v>34</v>
      </c>
      <c r="X688" t="s">
        <v>43</v>
      </c>
      <c r="Y688" t="e">
        <f>VLOOKUP(A688,[2]!PRGX[[#All],[Proveedor]],1,FALSE)</f>
        <v>#REF!</v>
      </c>
    </row>
    <row r="689" spans="1:26" x14ac:dyDescent="0.25">
      <c r="A689" s="36">
        <v>501957</v>
      </c>
      <c r="B689" s="36" t="s">
        <v>715</v>
      </c>
      <c r="C689" s="37">
        <v>4165</v>
      </c>
      <c r="D689" s="38">
        <v>108118700.8424</v>
      </c>
      <c r="E689" s="38">
        <v>80248276.238399997</v>
      </c>
      <c r="F689" s="38">
        <v>27870424.603999998</v>
      </c>
      <c r="G689" s="38" t="e">
        <f>VLOOKUP(A689,'[1]saldos al 26May26'!$C$2:$I$1010,7,FALSE)</f>
        <v>#N/A</v>
      </c>
      <c r="H689" s="39" t="s">
        <v>54</v>
      </c>
      <c r="I689" s="40" t="s">
        <v>27</v>
      </c>
      <c r="J689" s="41"/>
      <c r="K689" s="36" t="s">
        <v>29</v>
      </c>
      <c r="L689" s="36" t="s">
        <v>30</v>
      </c>
      <c r="M689" s="36" t="s">
        <v>55</v>
      </c>
      <c r="N689" s="25"/>
      <c r="O689" s="42" t="s">
        <v>51</v>
      </c>
      <c r="P689" s="30">
        <v>67883953.180000007</v>
      </c>
      <c r="Q689" s="30">
        <v>4863661.88</v>
      </c>
      <c r="R689" s="30"/>
      <c r="S689" s="30" t="s">
        <v>33</v>
      </c>
      <c r="T689" t="s">
        <v>33</v>
      </c>
      <c r="U689" s="31" t="e">
        <v>#N/A</v>
      </c>
      <c r="V689" t="s">
        <v>34</v>
      </c>
      <c r="Y689" t="e">
        <f>VLOOKUP(A689,[2]!PRGX[[#All],[Proveedor]],1,FALSE)</f>
        <v>#REF!</v>
      </c>
      <c r="Z689">
        <v>501957</v>
      </c>
    </row>
    <row r="690" spans="1:26" x14ac:dyDescent="0.25">
      <c r="A690" s="25">
        <v>395210</v>
      </c>
      <c r="B690" s="25" t="s">
        <v>716</v>
      </c>
      <c r="C690" s="26">
        <v>1587</v>
      </c>
      <c r="D690" s="27">
        <v>107831247</v>
      </c>
      <c r="E690" s="27">
        <v>79072204.5</v>
      </c>
      <c r="F690" s="27">
        <v>28759042.5</v>
      </c>
      <c r="G690" s="27">
        <f>VLOOKUP(A690,'[1]saldos al 26May26'!$C$2:$I$1010,7,FALSE)</f>
        <v>-1452759.41</v>
      </c>
      <c r="H690" s="27"/>
      <c r="I690" s="28"/>
      <c r="J690" s="29">
        <v>619011.05645884597</v>
      </c>
      <c r="K690" s="25" t="s">
        <v>40</v>
      </c>
      <c r="L690" s="25" t="s">
        <v>30</v>
      </c>
      <c r="M690" s="25" t="s">
        <v>50</v>
      </c>
      <c r="N690" s="25" t="s">
        <v>38</v>
      </c>
      <c r="O690" t="s">
        <v>38</v>
      </c>
      <c r="P690" s="32">
        <v>-85990.5</v>
      </c>
      <c r="Q690" s="30">
        <v>-10</v>
      </c>
      <c r="R690" s="30">
        <v>106435.61</v>
      </c>
      <c r="S690" s="30" t="s">
        <v>63</v>
      </c>
      <c r="T690" t="s">
        <v>33</v>
      </c>
      <c r="U690" s="31" t="s">
        <v>33</v>
      </c>
      <c r="V690" t="s">
        <v>33</v>
      </c>
      <c r="Y690" t="e">
        <f>VLOOKUP(A690,[2]!PRGX[[#All],[Proveedor]],1,FALSE)</f>
        <v>#REF!</v>
      </c>
    </row>
    <row r="691" spans="1:26" x14ac:dyDescent="0.25">
      <c r="A691" s="52">
        <v>44412</v>
      </c>
      <c r="B691" s="52" t="s">
        <v>717</v>
      </c>
      <c r="C691" s="53">
        <v>7670</v>
      </c>
      <c r="D691" s="54">
        <v>106671816.37</v>
      </c>
      <c r="E691" s="27">
        <v>90456790.939999998</v>
      </c>
      <c r="F691" s="27">
        <v>16215025.43</v>
      </c>
      <c r="G691" s="54">
        <f>VLOOKUP(A691,'[1]saldos al 26May26'!$C$2:$I$1010,7,FALSE)</f>
        <v>-5410656.8300000001</v>
      </c>
      <c r="H691" s="54"/>
      <c r="I691" s="55"/>
      <c r="J691" s="56">
        <v>2359446.2255373383</v>
      </c>
      <c r="K691" s="52" t="s">
        <v>40</v>
      </c>
      <c r="L691" s="52" t="s">
        <v>30</v>
      </c>
      <c r="M691" s="52" t="s">
        <v>59</v>
      </c>
      <c r="N691" s="52" t="s">
        <v>36</v>
      </c>
      <c r="O691" s="57" t="s">
        <v>36</v>
      </c>
      <c r="P691" s="58">
        <v>40482807.089999996</v>
      </c>
      <c r="Q691" s="58">
        <v>1477078.74</v>
      </c>
      <c r="R691" s="30"/>
      <c r="S691" s="30" t="s">
        <v>63</v>
      </c>
      <c r="T691" s="57" t="s">
        <v>33</v>
      </c>
      <c r="U691" s="31" t="s">
        <v>33</v>
      </c>
      <c r="V691" t="s">
        <v>33</v>
      </c>
      <c r="Y691" t="e">
        <f>VLOOKUP(A691,[2]!PRGX[[#All],[Proveedor]],1,FALSE)</f>
        <v>#REF!</v>
      </c>
    </row>
    <row r="692" spans="1:26" x14ac:dyDescent="0.25">
      <c r="A692" s="25">
        <v>22203</v>
      </c>
      <c r="B692" s="25" t="s">
        <v>718</v>
      </c>
      <c r="C692" s="26">
        <v>29598</v>
      </c>
      <c r="D692" s="27">
        <v>106584396.564</v>
      </c>
      <c r="E692" s="27">
        <v>65196694.919999994</v>
      </c>
      <c r="F692" s="27">
        <v>41387701.644000001</v>
      </c>
      <c r="G692" s="27">
        <f>VLOOKUP(A692,'[1]saldos al 26May26'!$C$2:$I$1010,7,FALSE)</f>
        <v>-3986613.29</v>
      </c>
      <c r="H692" s="27"/>
      <c r="I692" s="28"/>
      <c r="J692" s="29">
        <v>254546.29272459197</v>
      </c>
      <c r="K692" s="25" t="s">
        <v>40</v>
      </c>
      <c r="L692" s="25" t="s">
        <v>30</v>
      </c>
      <c r="M692" s="25" t="s">
        <v>50</v>
      </c>
      <c r="N692" s="25" t="s">
        <v>38</v>
      </c>
      <c r="O692" t="s">
        <v>38</v>
      </c>
      <c r="P692" s="30">
        <v>821513.01</v>
      </c>
      <c r="Q692" s="30">
        <v>0</v>
      </c>
      <c r="R692" s="30"/>
      <c r="S692" s="30" t="s">
        <v>63</v>
      </c>
      <c r="T692" s="57" t="s">
        <v>33</v>
      </c>
      <c r="U692" s="31" t="s">
        <v>33</v>
      </c>
      <c r="V692" t="s">
        <v>33</v>
      </c>
      <c r="Y692" t="e">
        <f>VLOOKUP(A692,[2]!PRGX[[#All],[Proveedor]],1,FALSE)</f>
        <v>#REF!</v>
      </c>
    </row>
    <row r="693" spans="1:26" x14ac:dyDescent="0.25">
      <c r="A693" s="52">
        <v>316588</v>
      </c>
      <c r="B693" s="52" t="s">
        <v>719</v>
      </c>
      <c r="C693" s="53">
        <v>3467</v>
      </c>
      <c r="D693" s="54">
        <v>106172427.112</v>
      </c>
      <c r="E693" s="27">
        <v>81741705.700000003</v>
      </c>
      <c r="F693" s="27">
        <v>24430721.412</v>
      </c>
      <c r="G693" s="54">
        <f>VLOOKUP(A693,'[1]saldos al 26May26'!$C$2:$I$1010,7,FALSE)</f>
        <v>-10576861.5</v>
      </c>
      <c r="H693" s="54"/>
      <c r="I693" s="55"/>
      <c r="J693" s="56">
        <v>326665.42548894696</v>
      </c>
      <c r="K693" s="52" t="s">
        <v>40</v>
      </c>
      <c r="L693" s="52" t="s">
        <v>30</v>
      </c>
      <c r="M693" s="52" t="s">
        <v>31</v>
      </c>
      <c r="N693" s="52" t="s">
        <v>47</v>
      </c>
      <c r="O693" s="57" t="s">
        <v>47</v>
      </c>
      <c r="P693" s="58">
        <v>1566788.88</v>
      </c>
      <c r="Q693" s="58">
        <v>0</v>
      </c>
      <c r="R693" s="30"/>
      <c r="S693" s="30" t="e">
        <v>#N/A</v>
      </c>
      <c r="T693" s="57" t="s">
        <v>34</v>
      </c>
      <c r="U693" s="31" t="e">
        <v>#N/A</v>
      </c>
      <c r="V693" s="57" t="s">
        <v>34</v>
      </c>
      <c r="X693" t="s">
        <v>43</v>
      </c>
      <c r="Y693" t="e">
        <f>VLOOKUP(A693,[2]!PRGX[[#All],[Proveedor]],1,FALSE)</f>
        <v>#REF!</v>
      </c>
    </row>
    <row r="694" spans="1:26" x14ac:dyDescent="0.25">
      <c r="A694" s="25">
        <v>385872</v>
      </c>
      <c r="B694" s="25" t="s">
        <v>720</v>
      </c>
      <c r="C694" s="26">
        <v>2048</v>
      </c>
      <c r="D694" s="27">
        <v>104527118.58</v>
      </c>
      <c r="E694" s="27">
        <v>57124939.299999997</v>
      </c>
      <c r="F694" s="27">
        <v>47402179.280000001</v>
      </c>
      <c r="G694" s="27">
        <f>VLOOKUP(A694,'[1]saldos al 26May26'!$C$2:$I$1010,7,FALSE)</f>
        <v>-6338873.4699999997</v>
      </c>
      <c r="H694" s="27"/>
      <c r="I694" s="28"/>
      <c r="J694" s="29"/>
      <c r="K694" s="25" t="s">
        <v>40</v>
      </c>
      <c r="L694" s="25" t="s">
        <v>30</v>
      </c>
      <c r="M694" s="25" t="s">
        <v>55</v>
      </c>
      <c r="N694" s="25" t="s">
        <v>96</v>
      </c>
      <c r="O694" t="s">
        <v>96</v>
      </c>
      <c r="P694" s="32">
        <v>-2447097.23</v>
      </c>
      <c r="Q694" s="30">
        <v>0</v>
      </c>
      <c r="R694" s="30"/>
      <c r="S694" s="30" t="e">
        <v>#N/A</v>
      </c>
      <c r="T694" t="s">
        <v>34</v>
      </c>
      <c r="U694" s="31" t="e">
        <v>#N/A</v>
      </c>
      <c r="V694" t="s">
        <v>34</v>
      </c>
      <c r="Y694" t="e">
        <f>VLOOKUP(A694,[2]!PRGX[[#All],[Proveedor]],1,FALSE)</f>
        <v>#REF!</v>
      </c>
    </row>
    <row r="695" spans="1:26" x14ac:dyDescent="0.25">
      <c r="A695" s="25">
        <v>20623</v>
      </c>
      <c r="B695" s="25" t="s">
        <v>721</v>
      </c>
      <c r="C695" s="26">
        <v>1809</v>
      </c>
      <c r="D695" s="27">
        <v>104049193.34100001</v>
      </c>
      <c r="E695" s="27">
        <v>63063077.215000004</v>
      </c>
      <c r="F695" s="27">
        <v>40986116.126000002</v>
      </c>
      <c r="G695" s="27">
        <f>VLOOKUP(A695,'[1]saldos al 26May26'!$C$2:$I$1010,7,FALSE)</f>
        <v>-5501658.1399999997</v>
      </c>
      <c r="H695" s="27"/>
      <c r="I695" s="28"/>
      <c r="J695" s="29">
        <v>405024.97749560722</v>
      </c>
      <c r="K695" s="25" t="s">
        <v>40</v>
      </c>
      <c r="L695" s="25" t="s">
        <v>30</v>
      </c>
      <c r="M695" s="25" t="s">
        <v>50</v>
      </c>
      <c r="N695" s="25" t="s">
        <v>32</v>
      </c>
      <c r="O695" t="s">
        <v>32</v>
      </c>
      <c r="P695" s="32">
        <v>-801433.81</v>
      </c>
      <c r="Q695" s="30">
        <v>0</v>
      </c>
      <c r="R695" s="30"/>
      <c r="S695" s="30" t="s">
        <v>33</v>
      </c>
      <c r="T695" t="s">
        <v>33</v>
      </c>
      <c r="U695" s="31" t="s">
        <v>33</v>
      </c>
      <c r="V695" t="s">
        <v>33</v>
      </c>
      <c r="Y695" t="e">
        <f>VLOOKUP(A695,[2]!PRGX[[#All],[Proveedor]],1,FALSE)</f>
        <v>#REF!</v>
      </c>
    </row>
    <row r="696" spans="1:26" x14ac:dyDescent="0.25">
      <c r="A696" s="25">
        <v>23756</v>
      </c>
      <c r="B696" s="25" t="s">
        <v>722</v>
      </c>
      <c r="C696" s="26">
        <v>14362</v>
      </c>
      <c r="D696" s="27">
        <v>103788337.59999999</v>
      </c>
      <c r="E696" s="27">
        <v>69267139.599999994</v>
      </c>
      <c r="F696" s="27">
        <v>34521198</v>
      </c>
      <c r="G696" s="27">
        <f>VLOOKUP(A696,'[1]saldos al 26May26'!$C$2:$I$1010,7,FALSE)</f>
        <v>-3374091.77</v>
      </c>
      <c r="H696" s="27"/>
      <c r="I696" s="28"/>
      <c r="J696" s="29"/>
      <c r="K696" s="25" t="s">
        <v>29</v>
      </c>
      <c r="L696" s="25" t="s">
        <v>30</v>
      </c>
      <c r="M696" s="25" t="s">
        <v>31</v>
      </c>
      <c r="N696" s="25"/>
      <c r="O696" t="s">
        <v>96</v>
      </c>
      <c r="P696" s="32">
        <v>-2539716.79</v>
      </c>
      <c r="Q696" s="30">
        <v>0</v>
      </c>
      <c r="R696" s="30"/>
      <c r="S696" s="30">
        <v>0</v>
      </c>
      <c r="T696" t="s">
        <v>33</v>
      </c>
      <c r="U696" s="31" t="e">
        <v>#N/A</v>
      </c>
      <c r="V696" t="s">
        <v>34</v>
      </c>
      <c r="Y696" t="e">
        <f>VLOOKUP(A696,[2]!PRGX[[#All],[Proveedor]],1,FALSE)</f>
        <v>#REF!</v>
      </c>
    </row>
    <row r="697" spans="1:26" x14ac:dyDescent="0.25">
      <c r="A697" s="25">
        <v>40089</v>
      </c>
      <c r="B697" s="25" t="s">
        <v>723</v>
      </c>
      <c r="C697" s="26">
        <v>15242</v>
      </c>
      <c r="D697" s="27">
        <v>103315417.87</v>
      </c>
      <c r="E697" s="27">
        <v>97505738.590000004</v>
      </c>
      <c r="F697" s="27">
        <v>5809679.2800000003</v>
      </c>
      <c r="G697" s="27">
        <f>VLOOKUP(A697,'[1]saldos al 26May26'!$C$2:$I$1010,7,FALSE)</f>
        <v>-2405608.8199999998</v>
      </c>
      <c r="H697" s="27"/>
      <c r="I697" s="28"/>
      <c r="J697" s="29">
        <v>574253.14992373204</v>
      </c>
      <c r="K697" s="25" t="s">
        <v>40</v>
      </c>
      <c r="L697" s="25" t="s">
        <v>30</v>
      </c>
      <c r="M697" s="25" t="s">
        <v>50</v>
      </c>
      <c r="N697" s="25" t="s">
        <v>41</v>
      </c>
      <c r="O697" t="s">
        <v>41</v>
      </c>
      <c r="P697" s="30">
        <v>219126.13000000003</v>
      </c>
      <c r="Q697" s="30">
        <v>702571.31</v>
      </c>
      <c r="R697" s="30">
        <v>50000</v>
      </c>
      <c r="S697" s="30" t="s">
        <v>63</v>
      </c>
      <c r="T697" t="s">
        <v>33</v>
      </c>
      <c r="U697" s="31" t="s">
        <v>33</v>
      </c>
      <c r="V697" t="s">
        <v>33</v>
      </c>
      <c r="Y697" t="e">
        <f>VLOOKUP(A697,[2]!PRGX[[#All],[Proveedor]],1,FALSE)</f>
        <v>#REF!</v>
      </c>
    </row>
    <row r="698" spans="1:26" x14ac:dyDescent="0.25">
      <c r="A698" s="25">
        <v>339358</v>
      </c>
      <c r="B698" s="25" t="s">
        <v>724</v>
      </c>
      <c r="C698" s="26">
        <v>41502</v>
      </c>
      <c r="D698" s="27">
        <v>697161549.64999998</v>
      </c>
      <c r="E698" s="27">
        <v>625565173.04999995</v>
      </c>
      <c r="F698" s="27">
        <v>71596376.599999994</v>
      </c>
      <c r="G698" s="27">
        <f>VLOOKUP(A698,'[1]saldos al 26May26'!$C$2:$I$1010,7,FALSE)</f>
        <v>-1842559.37</v>
      </c>
      <c r="H698" s="27"/>
      <c r="I698" s="28"/>
      <c r="J698" s="29"/>
      <c r="K698" s="25" t="s">
        <v>29</v>
      </c>
      <c r="L698" s="25" t="s">
        <v>30</v>
      </c>
      <c r="M698" s="25" t="s">
        <v>59</v>
      </c>
      <c r="N698" s="25"/>
      <c r="O698" t="s">
        <v>56</v>
      </c>
      <c r="P698" s="32">
        <v>-190670.54</v>
      </c>
      <c r="Q698" s="30">
        <v>0</v>
      </c>
      <c r="R698" s="30"/>
      <c r="S698" s="30" t="s">
        <v>33</v>
      </c>
      <c r="T698" t="s">
        <v>33</v>
      </c>
      <c r="U698" s="31" t="s">
        <v>33</v>
      </c>
      <c r="V698" t="s">
        <v>33</v>
      </c>
      <c r="Y698" t="e">
        <f>VLOOKUP(A698,[2]!PRGX[[#All],[Proveedor]],1,FALSE)</f>
        <v>#REF!</v>
      </c>
    </row>
    <row r="699" spans="1:26" x14ac:dyDescent="0.25">
      <c r="A699" s="25">
        <v>87270</v>
      </c>
      <c r="B699" s="25" t="s">
        <v>725</v>
      </c>
      <c r="C699" s="26">
        <v>17268</v>
      </c>
      <c r="D699" s="27">
        <v>103039237.69</v>
      </c>
      <c r="E699" s="27">
        <v>93553602.469999999</v>
      </c>
      <c r="F699" s="27">
        <v>9485635.2200000007</v>
      </c>
      <c r="G699" s="27">
        <f>VLOOKUP(A699,'[1]saldos al 26May26'!$C$2:$I$1010,7,FALSE)</f>
        <v>-2101386.5699999998</v>
      </c>
      <c r="H699" s="27"/>
      <c r="I699" s="28"/>
      <c r="J699" s="29">
        <v>100709.57465192801</v>
      </c>
      <c r="K699" s="25" t="s">
        <v>40</v>
      </c>
      <c r="L699" s="25" t="s">
        <v>30</v>
      </c>
      <c r="M699" s="25" t="s">
        <v>31</v>
      </c>
      <c r="N699" s="25" t="s">
        <v>51</v>
      </c>
      <c r="O699" t="s">
        <v>51</v>
      </c>
      <c r="P699" s="32">
        <v>-106992.98999999999</v>
      </c>
      <c r="Q699" s="30">
        <v>458412.64</v>
      </c>
      <c r="R699" s="30"/>
      <c r="S699" s="30" t="e">
        <v>#N/A</v>
      </c>
      <c r="T699" t="s">
        <v>34</v>
      </c>
      <c r="U699" s="31" t="e">
        <v>#N/A</v>
      </c>
      <c r="V699" t="s">
        <v>34</v>
      </c>
      <c r="Y699" t="e">
        <f>VLOOKUP(A699,[2]!PRGX[[#All],[Proveedor]],1,FALSE)</f>
        <v>#REF!</v>
      </c>
    </row>
    <row r="700" spans="1:26" x14ac:dyDescent="0.25">
      <c r="A700" s="25">
        <v>2151</v>
      </c>
      <c r="B700" s="25" t="s">
        <v>726</v>
      </c>
      <c r="C700" s="26">
        <v>24551</v>
      </c>
      <c r="D700" s="27">
        <v>102724611.059</v>
      </c>
      <c r="E700" s="27">
        <v>100196865.059</v>
      </c>
      <c r="F700" s="27">
        <v>2527746</v>
      </c>
      <c r="G700" s="27">
        <f>VLOOKUP(A700,'[1]saldos al 26May26'!$C$2:$I$1010,7,FALSE)</f>
        <v>-816018.66</v>
      </c>
      <c r="H700" s="27"/>
      <c r="I700" s="28"/>
      <c r="J700" s="29"/>
      <c r="K700" s="25" t="s">
        <v>29</v>
      </c>
      <c r="L700" s="25" t="s">
        <v>30</v>
      </c>
      <c r="M700" s="25" t="s">
        <v>50</v>
      </c>
      <c r="N700" s="25"/>
      <c r="O700" t="s">
        <v>70</v>
      </c>
      <c r="P700" s="30">
        <v>25895.250000000004</v>
      </c>
      <c r="Q700" s="30">
        <v>0</v>
      </c>
      <c r="R700" s="30"/>
      <c r="S700" s="30" t="s">
        <v>63</v>
      </c>
      <c r="T700" t="s">
        <v>33</v>
      </c>
      <c r="U700" s="31" t="e">
        <v>#N/A</v>
      </c>
      <c r="V700" t="s">
        <v>34</v>
      </c>
      <c r="Y700" t="e">
        <f>VLOOKUP(A700,[2]!PRGX[[#All],[Proveedor]],1,FALSE)</f>
        <v>#REF!</v>
      </c>
    </row>
    <row r="701" spans="1:26" x14ac:dyDescent="0.25">
      <c r="A701" s="25">
        <v>206466</v>
      </c>
      <c r="B701" s="25" t="s">
        <v>727</v>
      </c>
      <c r="C701" s="26">
        <v>13521</v>
      </c>
      <c r="D701" s="27">
        <v>102464536.65000001</v>
      </c>
      <c r="E701" s="27">
        <v>85797938.25</v>
      </c>
      <c r="F701" s="27">
        <v>16666598.4</v>
      </c>
      <c r="G701" s="27">
        <f>VLOOKUP(A701,'[1]saldos al 26May26'!$C$2:$I$1010,7,FALSE)</f>
        <v>-4876231.17</v>
      </c>
      <c r="H701" s="27"/>
      <c r="I701" s="28"/>
      <c r="J701" s="29">
        <v>1332522.526011049</v>
      </c>
      <c r="K701" s="25" t="s">
        <v>40</v>
      </c>
      <c r="L701" s="25" t="s">
        <v>30</v>
      </c>
      <c r="M701" s="25" t="s">
        <v>61</v>
      </c>
      <c r="N701" s="25" t="s">
        <v>80</v>
      </c>
      <c r="O701" t="s">
        <v>80</v>
      </c>
      <c r="P701" s="32">
        <v>-1059888.42</v>
      </c>
      <c r="Q701" s="30">
        <v>142477.98000000001</v>
      </c>
      <c r="R701" s="30">
        <v>231060.83</v>
      </c>
      <c r="S701" s="30" t="s">
        <v>63</v>
      </c>
      <c r="T701" t="s">
        <v>33</v>
      </c>
      <c r="U701" s="31">
        <v>0</v>
      </c>
      <c r="V701" t="s">
        <v>42</v>
      </c>
      <c r="Y701" t="e">
        <f>VLOOKUP(A701,[2]!PRGX[[#All],[Proveedor]],1,FALSE)</f>
        <v>#REF!</v>
      </c>
    </row>
    <row r="702" spans="1:26" x14ac:dyDescent="0.25">
      <c r="A702" s="25">
        <v>16985</v>
      </c>
      <c r="B702" s="25" t="s">
        <v>728</v>
      </c>
      <c r="C702" s="26">
        <v>12735</v>
      </c>
      <c r="D702" s="27">
        <v>101867822.72</v>
      </c>
      <c r="E702" s="27">
        <v>99084016.319999993</v>
      </c>
      <c r="F702" s="27">
        <v>2783806.4</v>
      </c>
      <c r="G702" s="27">
        <f>VLOOKUP(A702,'[1]saldos al 26May26'!$C$2:$I$1010,7,FALSE)</f>
        <v>-223191.44</v>
      </c>
      <c r="H702" s="27"/>
      <c r="I702" s="28"/>
      <c r="J702" s="29">
        <v>254011.18895600201</v>
      </c>
      <c r="K702" s="25" t="s">
        <v>40</v>
      </c>
      <c r="L702" s="25" t="s">
        <v>30</v>
      </c>
      <c r="M702" s="25" t="s">
        <v>31</v>
      </c>
      <c r="N702" s="25" t="s">
        <v>36</v>
      </c>
      <c r="O702" t="s">
        <v>36</v>
      </c>
      <c r="P702" s="30">
        <v>0</v>
      </c>
      <c r="Q702" s="30">
        <v>0</v>
      </c>
      <c r="R702" s="30"/>
      <c r="S702" s="30" t="e">
        <v>#N/A</v>
      </c>
      <c r="T702" t="s">
        <v>34</v>
      </c>
      <c r="U702" s="31">
        <v>0</v>
      </c>
      <c r="V702" t="s">
        <v>42</v>
      </c>
      <c r="Y702" t="e">
        <f>VLOOKUP(A702,[2]!PRGX[[#All],[Proveedor]],1,FALSE)</f>
        <v>#REF!</v>
      </c>
    </row>
    <row r="703" spans="1:26" x14ac:dyDescent="0.25">
      <c r="A703" s="52">
        <v>9943</v>
      </c>
      <c r="B703" s="52" t="s">
        <v>729</v>
      </c>
      <c r="C703" s="53">
        <v>14031</v>
      </c>
      <c r="D703" s="54">
        <v>101858375.28</v>
      </c>
      <c r="E703" s="54">
        <v>74330762.879999995</v>
      </c>
      <c r="F703" s="54">
        <v>27527612.399999999</v>
      </c>
      <c r="G703" s="54">
        <f>VLOOKUP(A703,'[1]saldos al 26May26'!$C$2:$I$1010,7,FALSE)</f>
        <v>-4781212.49</v>
      </c>
      <c r="H703" s="54"/>
      <c r="I703" s="55"/>
      <c r="J703" s="56">
        <v>592439.51513715752</v>
      </c>
      <c r="K703" s="52" t="s">
        <v>40</v>
      </c>
      <c r="L703" s="52" t="s">
        <v>30</v>
      </c>
      <c r="M703" s="52" t="s">
        <v>50</v>
      </c>
      <c r="N703" s="52" t="s">
        <v>47</v>
      </c>
      <c r="O703" s="57" t="s">
        <v>47</v>
      </c>
      <c r="P703" s="59">
        <v>-252781.2</v>
      </c>
      <c r="Q703" s="58">
        <v>268326.39</v>
      </c>
      <c r="R703" s="30">
        <v>28004.799999999999</v>
      </c>
      <c r="S703" s="30" t="s">
        <v>63</v>
      </c>
      <c r="T703" s="57" t="s">
        <v>33</v>
      </c>
      <c r="U703" s="31" t="s">
        <v>33</v>
      </c>
      <c r="V703" t="s">
        <v>33</v>
      </c>
      <c r="Y703" t="e">
        <f>VLOOKUP(A703,[2]!PRGX[[#All],[Proveedor]],1,FALSE)</f>
        <v>#REF!</v>
      </c>
    </row>
    <row r="704" spans="1:26" x14ac:dyDescent="0.25">
      <c r="A704" s="25">
        <v>20539</v>
      </c>
      <c r="B704" s="25" t="s">
        <v>730</v>
      </c>
      <c r="C704" s="26">
        <v>2206</v>
      </c>
      <c r="D704" s="27">
        <v>101547739.8</v>
      </c>
      <c r="E704" s="27">
        <v>51899247.799999997</v>
      </c>
      <c r="F704" s="27">
        <v>49648492</v>
      </c>
      <c r="G704" s="27">
        <f>VLOOKUP(A704,'[1]saldos al 26May26'!$C$2:$I$1010,7,FALSE)</f>
        <v>-1038497.74</v>
      </c>
      <c r="H704" s="27"/>
      <c r="I704" s="28"/>
      <c r="J704" s="29"/>
      <c r="K704" s="25" t="s">
        <v>29</v>
      </c>
      <c r="L704" s="25" t="s">
        <v>30</v>
      </c>
      <c r="M704" s="25" t="s">
        <v>31</v>
      </c>
      <c r="N704" s="25"/>
      <c r="O704" t="s">
        <v>38</v>
      </c>
      <c r="P704" s="32">
        <v>-349292.24</v>
      </c>
      <c r="Q704" s="30">
        <v>0</v>
      </c>
      <c r="R704" s="30"/>
      <c r="S704" s="30" t="s">
        <v>33</v>
      </c>
      <c r="T704" t="s">
        <v>33</v>
      </c>
      <c r="U704" s="31" t="e">
        <v>#N/A</v>
      </c>
      <c r="V704" t="s">
        <v>34</v>
      </c>
      <c r="W704" s="42"/>
      <c r="Y704" t="e">
        <f>VLOOKUP(A704,[2]!PRGX[[#All],[Proveedor]],1,FALSE)</f>
        <v>#REF!</v>
      </c>
    </row>
    <row r="705" spans="1:26" x14ac:dyDescent="0.25">
      <c r="A705" s="25">
        <v>14370</v>
      </c>
      <c r="B705" s="25" t="s">
        <v>731</v>
      </c>
      <c r="C705" s="26">
        <v>902</v>
      </c>
      <c r="D705" s="27">
        <v>101343666.61</v>
      </c>
      <c r="E705" s="27">
        <v>71253261.980000004</v>
      </c>
      <c r="F705" s="27">
        <v>30090404.629999999</v>
      </c>
      <c r="G705" s="27">
        <f>VLOOKUP(A705,'[1]saldos al 26May26'!$C$2:$I$1010,7,FALSE)</f>
        <v>-1765346.8</v>
      </c>
      <c r="H705" s="27"/>
      <c r="I705" s="28"/>
      <c r="J705" s="29">
        <v>30875.315999999999</v>
      </c>
      <c r="K705" s="25" t="s">
        <v>40</v>
      </c>
      <c r="L705" s="25" t="s">
        <v>30</v>
      </c>
      <c r="M705" s="25" t="s">
        <v>55</v>
      </c>
      <c r="N705" s="25" t="s">
        <v>51</v>
      </c>
      <c r="O705" t="s">
        <v>51</v>
      </c>
      <c r="P705" s="32">
        <v>-203114.01</v>
      </c>
      <c r="Q705" s="30">
        <v>0</v>
      </c>
      <c r="R705" s="30"/>
      <c r="S705" s="30" t="e">
        <v>#N/A</v>
      </c>
      <c r="T705" t="s">
        <v>34</v>
      </c>
      <c r="U705" s="31" t="e">
        <v>#N/A</v>
      </c>
      <c r="V705" t="s">
        <v>34</v>
      </c>
      <c r="Y705" t="e">
        <f>VLOOKUP(A705,[2]!PRGX[[#All],[Proveedor]],1,FALSE)</f>
        <v>#REF!</v>
      </c>
    </row>
    <row r="706" spans="1:26" x14ac:dyDescent="0.25">
      <c r="A706" s="52">
        <v>12500</v>
      </c>
      <c r="B706" s="52" t="s">
        <v>732</v>
      </c>
      <c r="C706" s="53">
        <v>312</v>
      </c>
      <c r="D706" s="54">
        <v>101326228.84999999</v>
      </c>
      <c r="E706" s="27">
        <v>76302955.189999998</v>
      </c>
      <c r="F706" s="27">
        <v>25023273.66</v>
      </c>
      <c r="G706" s="54">
        <f>VLOOKUP(A706,'[1]saldos al 26May26'!$C$2:$I$1010,7,FALSE)</f>
        <v>-1267459.3799999999</v>
      </c>
      <c r="H706" s="54"/>
      <c r="I706" s="55"/>
      <c r="J706" s="56">
        <v>520644.2119231259</v>
      </c>
      <c r="K706" s="52" t="s">
        <v>40</v>
      </c>
      <c r="L706" s="52" t="s">
        <v>30</v>
      </c>
      <c r="M706" s="52" t="s">
        <v>50</v>
      </c>
      <c r="N706" s="52" t="s">
        <v>45</v>
      </c>
      <c r="O706" s="57" t="s">
        <v>45</v>
      </c>
      <c r="P706" s="59">
        <v>-398005.86</v>
      </c>
      <c r="Q706" s="58">
        <v>4574.3900000000003</v>
      </c>
      <c r="R706" s="30">
        <v>407422.16000000003</v>
      </c>
      <c r="S706" s="30" t="e">
        <v>#N/A</v>
      </c>
      <c r="T706" s="57" t="s">
        <v>34</v>
      </c>
      <c r="U706" s="31" t="e">
        <v>#N/A</v>
      </c>
      <c r="V706" s="57" t="s">
        <v>34</v>
      </c>
      <c r="X706" t="s">
        <v>43</v>
      </c>
      <c r="Y706" t="e">
        <f>VLOOKUP(A706,[2]!PRGX[[#All],[Proveedor]],1,FALSE)</f>
        <v>#REF!</v>
      </c>
    </row>
    <row r="707" spans="1:26" x14ac:dyDescent="0.25">
      <c r="A707" s="25">
        <v>24934</v>
      </c>
      <c r="B707" s="25" t="s">
        <v>733</v>
      </c>
      <c r="C707" s="26">
        <v>8103</v>
      </c>
      <c r="D707" s="27">
        <v>99979026.549999997</v>
      </c>
      <c r="E707" s="27">
        <v>41305151.189999998</v>
      </c>
      <c r="F707" s="27">
        <v>58673875.359999999</v>
      </c>
      <c r="G707" s="27">
        <f>VLOOKUP(A707,'[1]saldos al 26May26'!$C$2:$I$1010,7,FALSE)</f>
        <v>-486086</v>
      </c>
      <c r="H707" s="27"/>
      <c r="I707" s="28"/>
      <c r="J707" s="29"/>
      <c r="K707" s="25" t="s">
        <v>40</v>
      </c>
      <c r="L707" s="25" t="s">
        <v>30</v>
      </c>
      <c r="M707" s="25" t="s">
        <v>55</v>
      </c>
      <c r="N707" s="25" t="s">
        <v>96</v>
      </c>
      <c r="O707" t="s">
        <v>96</v>
      </c>
      <c r="P707" s="32">
        <v>-210</v>
      </c>
      <c r="Q707" s="30">
        <v>0</v>
      </c>
      <c r="R707" s="30"/>
      <c r="S707" s="30" t="e">
        <v>#N/A</v>
      </c>
      <c r="T707" t="s">
        <v>34</v>
      </c>
      <c r="U707" s="31" t="e">
        <v>#N/A</v>
      </c>
      <c r="V707" t="s">
        <v>34</v>
      </c>
      <c r="Y707" t="e">
        <f>VLOOKUP(A707,[2]!PRGX[[#All],[Proveedor]],1,FALSE)</f>
        <v>#REF!</v>
      </c>
    </row>
    <row r="708" spans="1:26" x14ac:dyDescent="0.25">
      <c r="A708" s="52">
        <v>304329</v>
      </c>
      <c r="B708" s="52" t="s">
        <v>734</v>
      </c>
      <c r="C708" s="53">
        <v>18398</v>
      </c>
      <c r="D708" s="54">
        <v>99638194.189999998</v>
      </c>
      <c r="E708" s="27">
        <v>82925512.280000001</v>
      </c>
      <c r="F708" s="27">
        <v>16712681.91</v>
      </c>
      <c r="G708" s="54">
        <f>VLOOKUP(A708,'[1]saldos al 26May26'!$C$2:$I$1010,7,FALSE)</f>
        <v>-6282555.0099999998</v>
      </c>
      <c r="H708" s="54"/>
      <c r="I708" s="55"/>
      <c r="J708" s="56">
        <v>372232.02404712397</v>
      </c>
      <c r="K708" s="52" t="s">
        <v>40</v>
      </c>
      <c r="L708" s="52" t="s">
        <v>30</v>
      </c>
      <c r="M708" s="52" t="s">
        <v>50</v>
      </c>
      <c r="N708" s="52" t="s">
        <v>51</v>
      </c>
      <c r="O708" s="57" t="s">
        <v>51</v>
      </c>
      <c r="P708" s="59">
        <v>-17783.73</v>
      </c>
      <c r="Q708" s="58">
        <v>0</v>
      </c>
      <c r="R708" s="30">
        <v>71277.989999999991</v>
      </c>
      <c r="S708" s="30" t="e">
        <v>#N/A</v>
      </c>
      <c r="T708" s="57" t="s">
        <v>34</v>
      </c>
      <c r="U708" s="31">
        <v>0</v>
      </c>
      <c r="V708" s="57" t="s">
        <v>42</v>
      </c>
      <c r="X708" t="s">
        <v>43</v>
      </c>
      <c r="Y708" t="e">
        <f>VLOOKUP(A708,[2]!PRGX[[#All],[Proveedor]],1,FALSE)</f>
        <v>#REF!</v>
      </c>
    </row>
    <row r="709" spans="1:26" x14ac:dyDescent="0.25">
      <c r="A709" s="25">
        <v>329540</v>
      </c>
      <c r="B709" s="25" t="s">
        <v>735</v>
      </c>
      <c r="C709" s="26">
        <v>13723</v>
      </c>
      <c r="D709" s="27">
        <v>99482167.200000003</v>
      </c>
      <c r="E709" s="27">
        <v>82450055.760000005</v>
      </c>
      <c r="F709" s="27">
        <v>17032111.440000001</v>
      </c>
      <c r="G709" s="27">
        <f>VLOOKUP(A709,'[1]saldos al 26May26'!$C$2:$I$1010,7,FALSE)</f>
        <v>-5297296.1900000004</v>
      </c>
      <c r="H709" s="27"/>
      <c r="I709" s="28"/>
      <c r="J709" s="29">
        <v>264428.79435360001</v>
      </c>
      <c r="K709" s="25" t="s">
        <v>40</v>
      </c>
      <c r="L709" s="25" t="s">
        <v>30</v>
      </c>
      <c r="M709" s="25" t="s">
        <v>31</v>
      </c>
      <c r="N709" s="25" t="s">
        <v>51</v>
      </c>
      <c r="O709" t="s">
        <v>51</v>
      </c>
      <c r="P709" s="30">
        <v>3711215.88</v>
      </c>
      <c r="Q709" s="30">
        <v>-7319.27</v>
      </c>
      <c r="R709" s="30"/>
      <c r="S709" s="30" t="e">
        <v>#N/A</v>
      </c>
      <c r="T709" t="s">
        <v>34</v>
      </c>
      <c r="U709" s="31" t="e">
        <v>#N/A</v>
      </c>
      <c r="V709" t="s">
        <v>34</v>
      </c>
      <c r="Y709" t="e">
        <f>VLOOKUP(A709,[2]!PRGX[[#All],[Proveedor]],1,FALSE)</f>
        <v>#REF!</v>
      </c>
    </row>
    <row r="710" spans="1:26" x14ac:dyDescent="0.25">
      <c r="A710" s="25">
        <v>4830</v>
      </c>
      <c r="B710" s="25" t="s">
        <v>736</v>
      </c>
      <c r="C710" s="26">
        <v>4991</v>
      </c>
      <c r="D710" s="27">
        <v>99411373.760000005</v>
      </c>
      <c r="E710" s="27">
        <v>76958276.100000009</v>
      </c>
      <c r="F710" s="27">
        <v>22453097.66</v>
      </c>
      <c r="G710" s="27">
        <f>VLOOKUP(A710,'[1]saldos al 26May26'!$C$2:$I$1010,7,FALSE)</f>
        <v>-1993855.18</v>
      </c>
      <c r="H710" s="27"/>
      <c r="I710" s="28"/>
      <c r="J710" s="29">
        <v>208566.13260000001</v>
      </c>
      <c r="K710" s="25" t="s">
        <v>40</v>
      </c>
      <c r="L710" s="25" t="s">
        <v>30</v>
      </c>
      <c r="M710" s="25" t="s">
        <v>55</v>
      </c>
      <c r="N710" s="25" t="s">
        <v>70</v>
      </c>
      <c r="O710" t="s">
        <v>70</v>
      </c>
      <c r="P710" s="32">
        <v>-81472.689999999944</v>
      </c>
      <c r="Q710" s="30">
        <v>0</v>
      </c>
      <c r="R710" s="30"/>
      <c r="S710" s="30" t="s">
        <v>63</v>
      </c>
      <c r="T710" s="57" t="s">
        <v>33</v>
      </c>
      <c r="U710" s="31" t="s">
        <v>33</v>
      </c>
      <c r="V710" t="s">
        <v>33</v>
      </c>
      <c r="Y710" t="e">
        <f>VLOOKUP(A710,[2]!PRGX[[#All],[Proveedor]],1,FALSE)</f>
        <v>#REF!</v>
      </c>
    </row>
    <row r="711" spans="1:26" x14ac:dyDescent="0.25">
      <c r="A711" s="52">
        <v>86520</v>
      </c>
      <c r="B711" s="52" t="s">
        <v>737</v>
      </c>
      <c r="C711" s="53">
        <v>4615</v>
      </c>
      <c r="D711" s="54">
        <v>99115201.019999996</v>
      </c>
      <c r="E711" s="27">
        <v>77654482.00999999</v>
      </c>
      <c r="F711" s="27">
        <v>21460719.010000002</v>
      </c>
      <c r="G711" s="54">
        <f>VLOOKUP(A711,'[1]saldos al 26May26'!$C$2:$I$1010,7,FALSE)</f>
        <v>-7785249.2300000004</v>
      </c>
      <c r="H711" s="54"/>
      <c r="I711" s="55"/>
      <c r="J711" s="56">
        <v>415815.22392122541</v>
      </c>
      <c r="K711" s="52" t="s">
        <v>40</v>
      </c>
      <c r="L711" s="52" t="s">
        <v>30</v>
      </c>
      <c r="M711" s="52" t="s">
        <v>50</v>
      </c>
      <c r="N711" s="52" t="s">
        <v>32</v>
      </c>
      <c r="O711" s="57" t="s">
        <v>32</v>
      </c>
      <c r="P711" s="59">
        <v>-734840.86</v>
      </c>
      <c r="Q711" s="58">
        <v>661542.06000000006</v>
      </c>
      <c r="R711" s="30"/>
      <c r="S711" s="30" t="e">
        <v>#N/A</v>
      </c>
      <c r="T711" s="57" t="s">
        <v>34</v>
      </c>
      <c r="U711" s="31">
        <v>0</v>
      </c>
      <c r="V711" s="57" t="s">
        <v>42</v>
      </c>
      <c r="X711" t="s">
        <v>43</v>
      </c>
      <c r="Y711" t="e">
        <f>VLOOKUP(A711,[2]!PRGX[[#All],[Proveedor]],1,FALSE)</f>
        <v>#REF!</v>
      </c>
    </row>
    <row r="712" spans="1:26" x14ac:dyDescent="0.25">
      <c r="A712" s="25">
        <v>17541</v>
      </c>
      <c r="B712" s="25" t="s">
        <v>738</v>
      </c>
      <c r="C712" s="26">
        <v>9498</v>
      </c>
      <c r="D712" s="27">
        <v>99076811.269999996</v>
      </c>
      <c r="E712" s="27">
        <v>98588933.269999996</v>
      </c>
      <c r="F712" s="27">
        <v>487878</v>
      </c>
      <c r="G712" s="27">
        <f>VLOOKUP(A712,'[1]saldos al 26May26'!$C$2:$I$1010,7,FALSE)</f>
        <v>-49825.8</v>
      </c>
      <c r="H712" s="27"/>
      <c r="I712" s="28"/>
      <c r="J712" s="29">
        <v>200490.72467728049</v>
      </c>
      <c r="K712" s="25" t="s">
        <v>40</v>
      </c>
      <c r="L712" s="25" t="s">
        <v>30</v>
      </c>
      <c r="M712" s="25" t="s">
        <v>31</v>
      </c>
      <c r="N712" s="25" t="s">
        <v>80</v>
      </c>
      <c r="O712" t="s">
        <v>80</v>
      </c>
      <c r="P712" s="32">
        <v>-153660.98000000001</v>
      </c>
      <c r="Q712" s="30">
        <v>140280.22</v>
      </c>
      <c r="R712" s="30"/>
      <c r="S712" s="30" t="e">
        <v>#N/A</v>
      </c>
      <c r="T712" t="s">
        <v>34</v>
      </c>
      <c r="U712" s="31" t="e">
        <v>#N/A</v>
      </c>
      <c r="V712" t="s">
        <v>34</v>
      </c>
      <c r="Y712" t="e">
        <f>VLOOKUP(A712,[2]!PRGX[[#All],[Proveedor]],1,FALSE)</f>
        <v>#REF!</v>
      </c>
    </row>
    <row r="713" spans="1:26" x14ac:dyDescent="0.25">
      <c r="A713" s="25">
        <v>5967</v>
      </c>
      <c r="B713" s="25" t="s">
        <v>739</v>
      </c>
      <c r="C713" s="26">
        <v>10260</v>
      </c>
      <c r="D713" s="27">
        <v>98744050.370000005</v>
      </c>
      <c r="E713" s="27">
        <v>77462409.010000005</v>
      </c>
      <c r="F713" s="27">
        <v>21281641.359999999</v>
      </c>
      <c r="G713" s="27">
        <f>VLOOKUP(A713,'[1]saldos al 26May26'!$C$2:$I$1010,7,FALSE)</f>
        <v>-2835896.38</v>
      </c>
      <c r="H713" s="27"/>
      <c r="I713" s="28"/>
      <c r="J713" s="29"/>
      <c r="K713" s="25" t="s">
        <v>29</v>
      </c>
      <c r="L713" s="25" t="s">
        <v>30</v>
      </c>
      <c r="M713" s="25" t="s">
        <v>31</v>
      </c>
      <c r="N713" s="25"/>
      <c r="O713" t="s">
        <v>51</v>
      </c>
      <c r="P713" s="32">
        <v>-508678.21</v>
      </c>
      <c r="Q713" s="30">
        <v>0</v>
      </c>
      <c r="R713" s="30"/>
      <c r="S713" s="30" t="s">
        <v>63</v>
      </c>
      <c r="T713" t="s">
        <v>33</v>
      </c>
      <c r="U713" s="31" t="e">
        <v>#N/A</v>
      </c>
      <c r="V713" t="s">
        <v>34</v>
      </c>
      <c r="Y713" t="e">
        <f>VLOOKUP(A713,[2]!PRGX[[#All],[Proveedor]],1,FALSE)</f>
        <v>#REF!</v>
      </c>
    </row>
    <row r="714" spans="1:26" x14ac:dyDescent="0.25">
      <c r="A714" s="25">
        <v>396234</v>
      </c>
      <c r="B714" s="25" t="s">
        <v>740</v>
      </c>
      <c r="C714" s="26">
        <v>87073</v>
      </c>
      <c r="D714" s="27">
        <v>98587811.844999999</v>
      </c>
      <c r="E714" s="27">
        <v>79062176.414999992</v>
      </c>
      <c r="F714" s="27">
        <v>19525635.43</v>
      </c>
      <c r="G714" s="27">
        <f>VLOOKUP(A714,'[1]saldos al 26May26'!$C$2:$I$1010,7,FALSE)</f>
        <v>-7142615.0099999998</v>
      </c>
      <c r="H714" s="27"/>
      <c r="I714" s="28"/>
      <c r="J714" s="29">
        <v>113153.43116996781</v>
      </c>
      <c r="K714" s="25" t="s">
        <v>40</v>
      </c>
      <c r="L714" s="25" t="s">
        <v>30</v>
      </c>
      <c r="M714" s="25" t="s">
        <v>31</v>
      </c>
      <c r="N714" s="25" t="s">
        <v>38</v>
      </c>
      <c r="O714" t="s">
        <v>38</v>
      </c>
      <c r="P714" s="32">
        <v>-1029297.4199999999</v>
      </c>
      <c r="Q714" s="30">
        <v>396394.43</v>
      </c>
      <c r="R714" s="30"/>
      <c r="S714" s="30" t="s">
        <v>63</v>
      </c>
      <c r="T714" s="57" t="s">
        <v>33</v>
      </c>
      <c r="U714" s="31" t="s">
        <v>33</v>
      </c>
      <c r="V714" t="s">
        <v>33</v>
      </c>
      <c r="Y714" t="e">
        <f>VLOOKUP(A714,[2]!PRGX[[#All],[Proveedor]],1,FALSE)</f>
        <v>#REF!</v>
      </c>
    </row>
    <row r="715" spans="1:26" x14ac:dyDescent="0.25">
      <c r="A715" s="36">
        <v>500190</v>
      </c>
      <c r="B715" s="36" t="s">
        <v>741</v>
      </c>
      <c r="C715" s="37">
        <v>2588</v>
      </c>
      <c r="D715" s="38">
        <v>98325298.239999995</v>
      </c>
      <c r="E715" s="38">
        <v>79107011.639999986</v>
      </c>
      <c r="F715" s="38">
        <v>19218286.600000001</v>
      </c>
      <c r="G715" s="38" t="e">
        <f>VLOOKUP(A715,'[1]saldos al 26May26'!$C$2:$I$1010,7,FALSE)</f>
        <v>#N/A</v>
      </c>
      <c r="H715" s="39" t="s">
        <v>54</v>
      </c>
      <c r="I715" s="40" t="s">
        <v>27</v>
      </c>
      <c r="J715" s="41"/>
      <c r="K715" s="36" t="s">
        <v>29</v>
      </c>
      <c r="L715" s="36" t="s">
        <v>30</v>
      </c>
      <c r="M715" s="36" t="s">
        <v>55</v>
      </c>
      <c r="N715" s="25"/>
      <c r="O715" s="42" t="s">
        <v>45</v>
      </c>
      <c r="P715" s="30">
        <v>361175747.68999994</v>
      </c>
      <c r="Q715" s="30">
        <v>18244572.579999998</v>
      </c>
      <c r="R715" s="30">
        <v>3113.55</v>
      </c>
      <c r="S715" s="30" t="s">
        <v>33</v>
      </c>
      <c r="T715" t="s">
        <v>33</v>
      </c>
      <c r="U715" s="31" t="e">
        <v>#N/A</v>
      </c>
      <c r="V715" t="s">
        <v>34</v>
      </c>
      <c r="Y715" t="e">
        <f>VLOOKUP(A715,[2]!PRGX[[#All],[Proveedor]],1,FALSE)</f>
        <v>#REF!</v>
      </c>
      <c r="Z715">
        <v>500190</v>
      </c>
    </row>
    <row r="716" spans="1:26" x14ac:dyDescent="0.25">
      <c r="A716" s="52">
        <v>322206</v>
      </c>
      <c r="B716" s="52" t="s">
        <v>742</v>
      </c>
      <c r="C716" s="53">
        <v>12424</v>
      </c>
      <c r="D716" s="54">
        <v>98137109.719999999</v>
      </c>
      <c r="E716" s="27">
        <v>88807843.799999997</v>
      </c>
      <c r="F716" s="27">
        <v>9329265.9199999999</v>
      </c>
      <c r="G716" s="54">
        <f>VLOOKUP(A716,'[1]saldos al 26May26'!$C$2:$I$1010,7,FALSE)</f>
        <v>-3265625.34</v>
      </c>
      <c r="H716" s="54"/>
      <c r="I716" s="55"/>
      <c r="J716" s="56">
        <v>150383.4241837445</v>
      </c>
      <c r="K716" s="52" t="s">
        <v>40</v>
      </c>
      <c r="L716" s="52" t="s">
        <v>30</v>
      </c>
      <c r="M716" s="52" t="s">
        <v>31</v>
      </c>
      <c r="N716" s="52" t="s">
        <v>47</v>
      </c>
      <c r="O716" s="57" t="s">
        <v>47</v>
      </c>
      <c r="P716" s="58">
        <v>117314.23000000004</v>
      </c>
      <c r="Q716" s="58">
        <v>614293.84</v>
      </c>
      <c r="R716" s="30"/>
      <c r="S716" s="30" t="e">
        <v>#N/A</v>
      </c>
      <c r="T716" s="57" t="s">
        <v>34</v>
      </c>
      <c r="U716" s="31">
        <v>0</v>
      </c>
      <c r="V716" s="57" t="s">
        <v>42</v>
      </c>
      <c r="X716" t="s">
        <v>43</v>
      </c>
      <c r="Y716" t="e">
        <f>VLOOKUP(A716,[2]!PRGX[[#All],[Proveedor]],1,FALSE)</f>
        <v>#REF!</v>
      </c>
    </row>
    <row r="717" spans="1:26" x14ac:dyDescent="0.25">
      <c r="A717" s="25">
        <v>89383</v>
      </c>
      <c r="B717" s="25" t="s">
        <v>743</v>
      </c>
      <c r="C717" s="26">
        <v>21152</v>
      </c>
      <c r="D717" s="27">
        <v>97226192.299999997</v>
      </c>
      <c r="E717" s="27">
        <v>82493487.099999994</v>
      </c>
      <c r="F717" s="27">
        <v>14732705.199999999</v>
      </c>
      <c r="G717" s="27">
        <f>VLOOKUP(A717,'[1]saldos al 26May26'!$C$2:$I$1010,7,FALSE)</f>
        <v>-4188635.61</v>
      </c>
      <c r="H717" s="27"/>
      <c r="I717" s="28"/>
      <c r="J717" s="29">
        <v>37112.702056021997</v>
      </c>
      <c r="K717" s="25" t="s">
        <v>40</v>
      </c>
      <c r="L717" s="25" t="s">
        <v>30</v>
      </c>
      <c r="M717" s="25" t="s">
        <v>55</v>
      </c>
      <c r="N717" s="25" t="s">
        <v>32</v>
      </c>
      <c r="O717" t="s">
        <v>32</v>
      </c>
      <c r="P717" s="32">
        <v>-26623.86</v>
      </c>
      <c r="Q717" s="30">
        <v>0</v>
      </c>
      <c r="R717" s="30"/>
      <c r="S717" s="30" t="e">
        <v>#N/A</v>
      </c>
      <c r="T717" t="s">
        <v>34</v>
      </c>
      <c r="U717" s="31" t="e">
        <v>#N/A</v>
      </c>
      <c r="V717" t="s">
        <v>34</v>
      </c>
      <c r="Y717" t="e">
        <f>VLOOKUP(A717,[2]!PRGX[[#All],[Proveedor]],1,FALSE)</f>
        <v>#REF!</v>
      </c>
    </row>
    <row r="718" spans="1:26" x14ac:dyDescent="0.25">
      <c r="A718" s="25">
        <v>390278</v>
      </c>
      <c r="B718" s="25" t="s">
        <v>744</v>
      </c>
      <c r="C718" s="26">
        <v>2467</v>
      </c>
      <c r="D718" s="27">
        <v>96541614.670000002</v>
      </c>
      <c r="E718" s="27">
        <v>83286904.040000007</v>
      </c>
      <c r="F718" s="27">
        <v>13254710.630000001</v>
      </c>
      <c r="G718" s="27">
        <f>VLOOKUP(A718,'[1]saldos al 26May26'!$C$2:$I$1010,7,FALSE)</f>
        <v>-2754785.58</v>
      </c>
      <c r="H718" s="27"/>
      <c r="I718" s="28"/>
      <c r="J718" s="29">
        <v>30599.266845345999</v>
      </c>
      <c r="K718" s="25" t="s">
        <v>29</v>
      </c>
      <c r="L718" s="25" t="s">
        <v>30</v>
      </c>
      <c r="M718" s="25" t="s">
        <v>55</v>
      </c>
      <c r="N718" s="25" t="s">
        <v>67</v>
      </c>
      <c r="O718" t="s">
        <v>67</v>
      </c>
      <c r="P718" s="32">
        <v>-187088.1</v>
      </c>
      <c r="Q718" s="30">
        <v>0</v>
      </c>
      <c r="R718" s="30"/>
      <c r="S718" s="30" t="s">
        <v>63</v>
      </c>
      <c r="T718" s="57" t="s">
        <v>33</v>
      </c>
      <c r="U718" s="31" t="s">
        <v>33</v>
      </c>
      <c r="V718" t="s">
        <v>33</v>
      </c>
      <c r="Y718" t="e">
        <f>VLOOKUP(A718,[2]!PRGX[[#All],[Proveedor]],1,FALSE)</f>
        <v>#REF!</v>
      </c>
    </row>
    <row r="719" spans="1:26" x14ac:dyDescent="0.25">
      <c r="A719" s="52">
        <v>377929</v>
      </c>
      <c r="B719" s="52" t="s">
        <v>745</v>
      </c>
      <c r="C719" s="53">
        <v>14113</v>
      </c>
      <c r="D719" s="54">
        <v>94842271.859999999</v>
      </c>
      <c r="E719" s="27">
        <v>82653144.230000004</v>
      </c>
      <c r="F719" s="27">
        <v>12189127.630000001</v>
      </c>
      <c r="G719" s="54">
        <f>VLOOKUP(A719,'[1]saldos al 26May26'!$C$2:$I$1010,7,FALSE)</f>
        <v>-2995257.94</v>
      </c>
      <c r="H719" s="54"/>
      <c r="I719" s="55"/>
      <c r="J719" s="56">
        <v>615917.84568526607</v>
      </c>
      <c r="K719" s="52" t="s">
        <v>40</v>
      </c>
      <c r="L719" s="52" t="s">
        <v>30</v>
      </c>
      <c r="M719" s="52" t="s">
        <v>50</v>
      </c>
      <c r="N719" s="52" t="s">
        <v>36</v>
      </c>
      <c r="O719" s="57" t="s">
        <v>36</v>
      </c>
      <c r="P719" s="59">
        <v>-1311282.3999999999</v>
      </c>
      <c r="Q719" s="58">
        <v>-10396.049999999999</v>
      </c>
      <c r="R719" s="30"/>
      <c r="S719" s="30" t="e">
        <v>#N/A</v>
      </c>
      <c r="T719" s="57" t="s">
        <v>34</v>
      </c>
      <c r="U719" s="31" t="e">
        <v>#N/A</v>
      </c>
      <c r="V719" s="57" t="s">
        <v>34</v>
      </c>
      <c r="X719" t="s">
        <v>43</v>
      </c>
      <c r="Y719" t="e">
        <f>VLOOKUP(A719,[2]!PRGX[[#All],[Proveedor]],1,FALSE)</f>
        <v>#REF!</v>
      </c>
    </row>
    <row r="720" spans="1:26" x14ac:dyDescent="0.25">
      <c r="A720" s="25">
        <v>74310</v>
      </c>
      <c r="B720" s="25" t="s">
        <v>746</v>
      </c>
      <c r="C720" s="26">
        <v>460</v>
      </c>
      <c r="D720" s="27">
        <v>94669690.656000003</v>
      </c>
      <c r="E720" s="27">
        <v>66040972.456</v>
      </c>
      <c r="F720" s="27">
        <v>28628718.199999999</v>
      </c>
      <c r="G720" s="27">
        <f>VLOOKUP(A720,'[1]saldos al 26May26'!$C$2:$I$1010,7,FALSE)</f>
        <v>-2677895.2000000002</v>
      </c>
      <c r="H720" s="27"/>
      <c r="I720" s="28"/>
      <c r="J720" s="29"/>
      <c r="K720" s="25" t="s">
        <v>29</v>
      </c>
      <c r="L720" s="25" t="s">
        <v>30</v>
      </c>
      <c r="M720" s="25" t="s">
        <v>55</v>
      </c>
      <c r="N720" s="25"/>
      <c r="O720" t="s">
        <v>47</v>
      </c>
      <c r="P720" s="32">
        <v>-147988.85</v>
      </c>
      <c r="Q720" s="30">
        <v>0</v>
      </c>
      <c r="R720" s="30"/>
      <c r="S720" s="30" t="s">
        <v>63</v>
      </c>
      <c r="T720" t="s">
        <v>33</v>
      </c>
      <c r="U720" s="31">
        <v>0</v>
      </c>
      <c r="V720" t="s">
        <v>42</v>
      </c>
      <c r="Y720" t="e">
        <f>VLOOKUP(A720,[2]!PRGX[[#All],[Proveedor]],1,FALSE)</f>
        <v>#REF!</v>
      </c>
    </row>
    <row r="721" spans="1:26" x14ac:dyDescent="0.25">
      <c r="A721" s="52">
        <v>314807</v>
      </c>
      <c r="B721" s="52" t="s">
        <v>747</v>
      </c>
      <c r="C721" s="53">
        <v>8935</v>
      </c>
      <c r="D721" s="54">
        <v>94536937.370000005</v>
      </c>
      <c r="E721" s="54">
        <v>79795474.960000008</v>
      </c>
      <c r="F721" s="54">
        <v>14741462.41</v>
      </c>
      <c r="G721" s="54">
        <f>VLOOKUP(A721,'[1]saldos al 26May26'!$C$2:$I$1010,7,FALSE)</f>
        <v>-4738867.42</v>
      </c>
      <c r="H721" s="54"/>
      <c r="I721" s="55"/>
      <c r="J721" s="56">
        <v>478549.73517461761</v>
      </c>
      <c r="K721" s="52" t="s">
        <v>40</v>
      </c>
      <c r="L721" s="52" t="s">
        <v>30</v>
      </c>
      <c r="M721" s="52" t="s">
        <v>50</v>
      </c>
      <c r="N721" s="52" t="s">
        <v>47</v>
      </c>
      <c r="O721" s="57" t="s">
        <v>47</v>
      </c>
      <c r="P721" s="59">
        <v>-476912.82</v>
      </c>
      <c r="Q721" s="58">
        <v>30550.32</v>
      </c>
      <c r="R721" s="30">
        <v>513045.37</v>
      </c>
      <c r="S721" s="30" t="s">
        <v>63</v>
      </c>
      <c r="T721" s="57" t="s">
        <v>33</v>
      </c>
      <c r="U721" s="31" t="e">
        <v>#N/A</v>
      </c>
      <c r="V721" s="57" t="s">
        <v>34</v>
      </c>
      <c r="Y721" t="e">
        <f>VLOOKUP(A721,[2]!PRGX[[#All],[Proveedor]],1,FALSE)</f>
        <v>#REF!</v>
      </c>
    </row>
    <row r="722" spans="1:26" s="42" customFormat="1" x14ac:dyDescent="0.25">
      <c r="A722" s="52">
        <v>99432</v>
      </c>
      <c r="B722" s="52" t="s">
        <v>748</v>
      </c>
      <c r="C722" s="53">
        <v>6168</v>
      </c>
      <c r="D722" s="54">
        <v>94487164.180000007</v>
      </c>
      <c r="E722" s="27">
        <v>75665204.480000004</v>
      </c>
      <c r="F722" s="27">
        <v>18821959.699999999</v>
      </c>
      <c r="G722" s="54">
        <f>VLOOKUP(A722,'[1]saldos al 26May26'!$C$2:$I$1010,7,FALSE)</f>
        <v>-3995383.89</v>
      </c>
      <c r="H722" s="54"/>
      <c r="I722" s="55"/>
      <c r="J722" s="56">
        <v>1973266.9292189626</v>
      </c>
      <c r="K722" s="52" t="s">
        <v>40</v>
      </c>
      <c r="L722" s="52" t="s">
        <v>30</v>
      </c>
      <c r="M722" s="52" t="s">
        <v>59</v>
      </c>
      <c r="N722" s="52" t="s">
        <v>96</v>
      </c>
      <c r="O722" s="57" t="s">
        <v>96</v>
      </c>
      <c r="P722" s="59">
        <v>-225985.79</v>
      </c>
      <c r="Q722" s="58">
        <v>0</v>
      </c>
      <c r="R722" s="30"/>
      <c r="S722" s="30" t="s">
        <v>63</v>
      </c>
      <c r="T722" s="57" t="s">
        <v>33</v>
      </c>
      <c r="U722" s="31" t="s">
        <v>33</v>
      </c>
      <c r="V722" t="s">
        <v>33</v>
      </c>
      <c r="W722"/>
      <c r="Y722" t="e">
        <f>VLOOKUP(A722,[2]!PRGX[[#All],[Proveedor]],1,FALSE)</f>
        <v>#REF!</v>
      </c>
      <c r="Z722"/>
    </row>
    <row r="723" spans="1:26" x14ac:dyDescent="0.25">
      <c r="A723" s="25">
        <v>311050</v>
      </c>
      <c r="B723" s="25" t="s">
        <v>749</v>
      </c>
      <c r="C723" s="26">
        <v>61716</v>
      </c>
      <c r="D723" s="27">
        <v>94324184.950000003</v>
      </c>
      <c r="E723" s="27">
        <v>78915545.25</v>
      </c>
      <c r="F723" s="27">
        <v>15408639.699999999</v>
      </c>
      <c r="G723" s="27">
        <f>VLOOKUP(A723,'[1]saldos al 26May26'!$C$2:$I$1010,7,FALSE)</f>
        <v>11148.82</v>
      </c>
      <c r="H723" s="39" t="s">
        <v>54</v>
      </c>
      <c r="I723" s="28"/>
      <c r="J723" s="29"/>
      <c r="K723" s="25" t="s">
        <v>29</v>
      </c>
      <c r="L723" s="25" t="s">
        <v>30</v>
      </c>
      <c r="M723" s="36" t="s">
        <v>55</v>
      </c>
      <c r="N723" s="25"/>
      <c r="O723" t="s">
        <v>36</v>
      </c>
      <c r="P723" s="32">
        <v>-163994.23000000001</v>
      </c>
      <c r="Q723" s="30">
        <v>269796.53999999998</v>
      </c>
      <c r="R723" s="30">
        <v>220000</v>
      </c>
      <c r="S723" s="30" t="s">
        <v>63</v>
      </c>
      <c r="T723" t="s">
        <v>33</v>
      </c>
      <c r="U723" s="31" t="e">
        <v>#N/A</v>
      </c>
      <c r="V723" t="s">
        <v>34</v>
      </c>
      <c r="Y723" t="e">
        <f>VLOOKUP(A723,[2]!PRGX[[#All],[Proveedor]],1,FALSE)</f>
        <v>#REF!</v>
      </c>
    </row>
    <row r="724" spans="1:26" x14ac:dyDescent="0.25">
      <c r="A724" s="25">
        <v>321786</v>
      </c>
      <c r="B724" s="25" t="s">
        <v>750</v>
      </c>
      <c r="C724" s="26">
        <v>14916</v>
      </c>
      <c r="D724" s="27">
        <v>94181023.609999999</v>
      </c>
      <c r="E724" s="27">
        <v>74406917.870000005</v>
      </c>
      <c r="F724" s="27">
        <v>19774105.739999998</v>
      </c>
      <c r="G724" s="27">
        <f>VLOOKUP(A724,'[1]saldos al 26May26'!$C$2:$I$1010,7,FALSE)</f>
        <v>-7200731.9000000004</v>
      </c>
      <c r="H724" s="27"/>
      <c r="I724" s="28"/>
      <c r="J724" s="29">
        <v>159187.13503470851</v>
      </c>
      <c r="K724" s="25" t="s">
        <v>40</v>
      </c>
      <c r="L724" s="25" t="s">
        <v>30</v>
      </c>
      <c r="M724" s="25" t="s">
        <v>31</v>
      </c>
      <c r="N724" s="25" t="s">
        <v>67</v>
      </c>
      <c r="O724" t="s">
        <v>67</v>
      </c>
      <c r="P724" s="32">
        <v>-114766.40000000001</v>
      </c>
      <c r="Q724" s="30">
        <v>5107.1000000000004</v>
      </c>
      <c r="R724" s="30"/>
      <c r="S724" s="30" t="e">
        <v>#N/A</v>
      </c>
      <c r="T724" t="s">
        <v>34</v>
      </c>
      <c r="U724" s="31">
        <v>0</v>
      </c>
      <c r="V724" t="s">
        <v>42</v>
      </c>
      <c r="Y724" t="e">
        <f>VLOOKUP(A724,[2]!PRGX[[#All],[Proveedor]],1,FALSE)</f>
        <v>#REF!</v>
      </c>
    </row>
    <row r="725" spans="1:26" x14ac:dyDescent="0.25">
      <c r="A725" s="25">
        <v>391177</v>
      </c>
      <c r="B725" s="25" t="s">
        <v>751</v>
      </c>
      <c r="C725" s="26">
        <v>999</v>
      </c>
      <c r="D725" s="27">
        <v>93719900.219999999</v>
      </c>
      <c r="E725" s="27">
        <v>47596206.82</v>
      </c>
      <c r="F725" s="27">
        <v>46123693.399999999</v>
      </c>
      <c r="G725" s="27">
        <f>VLOOKUP(A725,'[1]saldos al 26May26'!$C$2:$I$1010,7,FALSE)</f>
        <v>-10046955.52</v>
      </c>
      <c r="H725" s="27"/>
      <c r="I725" s="28"/>
      <c r="J725" s="29"/>
      <c r="K725" s="25" t="s">
        <v>29</v>
      </c>
      <c r="L725" s="25" t="s">
        <v>30</v>
      </c>
      <c r="M725" s="25" t="s">
        <v>31</v>
      </c>
      <c r="N725" s="25"/>
      <c r="O725" t="s">
        <v>96</v>
      </c>
      <c r="P725" s="32">
        <v>-6382.83</v>
      </c>
      <c r="Q725" s="30">
        <v>0</v>
      </c>
      <c r="R725" s="30">
        <v>66886.929999999993</v>
      </c>
      <c r="S725" s="30">
        <v>0</v>
      </c>
      <c r="T725" t="s">
        <v>33</v>
      </c>
      <c r="U725" s="31">
        <v>0</v>
      </c>
      <c r="V725" t="s">
        <v>34</v>
      </c>
      <c r="Y725" t="e">
        <f>VLOOKUP(A725,[2]!PRGX[[#All],[Proveedor]],1,FALSE)</f>
        <v>#REF!</v>
      </c>
    </row>
    <row r="726" spans="1:26" x14ac:dyDescent="0.25">
      <c r="A726" s="25">
        <v>4101</v>
      </c>
      <c r="B726" s="25" t="s">
        <v>752</v>
      </c>
      <c r="C726" s="26">
        <v>16719</v>
      </c>
      <c r="D726" s="27">
        <v>93694277.390000001</v>
      </c>
      <c r="E726" s="27">
        <v>74074978.370000005</v>
      </c>
      <c r="F726" s="27">
        <v>19619299.02</v>
      </c>
      <c r="G726" s="27">
        <f>VLOOKUP(A726,'[1]saldos al 26May26'!$C$2:$I$1010,7,FALSE)</f>
        <v>-1537574.31</v>
      </c>
      <c r="H726" s="27"/>
      <c r="I726" s="28"/>
      <c r="J726" s="29"/>
      <c r="K726" s="25" t="s">
        <v>29</v>
      </c>
      <c r="L726" s="25" t="s">
        <v>30</v>
      </c>
      <c r="M726" s="25" t="s">
        <v>31</v>
      </c>
      <c r="N726" s="25"/>
      <c r="O726" t="s">
        <v>80</v>
      </c>
      <c r="P726" s="32">
        <v>-32656.050000000003</v>
      </c>
      <c r="Q726" s="30">
        <v>526152.62</v>
      </c>
      <c r="R726" s="30"/>
      <c r="S726" s="30" t="s">
        <v>63</v>
      </c>
      <c r="T726" t="s">
        <v>33</v>
      </c>
      <c r="U726" s="31" t="e">
        <v>#N/A</v>
      </c>
      <c r="V726" t="s">
        <v>34</v>
      </c>
      <c r="Y726" t="e">
        <f>VLOOKUP(A726,[2]!PRGX[[#All],[Proveedor]],1,FALSE)</f>
        <v>#REF!</v>
      </c>
    </row>
    <row r="727" spans="1:26" x14ac:dyDescent="0.25">
      <c r="A727" s="25">
        <v>77933</v>
      </c>
      <c r="B727" s="25" t="s">
        <v>753</v>
      </c>
      <c r="C727" s="26">
        <v>15184</v>
      </c>
      <c r="D727" s="27">
        <v>93415478.590000004</v>
      </c>
      <c r="E727" s="27">
        <v>81471471.730000004</v>
      </c>
      <c r="F727" s="27">
        <v>11944006.859999999</v>
      </c>
      <c r="G727" s="27">
        <f>VLOOKUP(A727,'[1]saldos al 26May26'!$C$2:$I$1010,7,FALSE)</f>
        <v>-3665453.44</v>
      </c>
      <c r="H727" s="27"/>
      <c r="I727" s="28"/>
      <c r="J727" s="29">
        <v>54203.079484351998</v>
      </c>
      <c r="K727" s="25" t="s">
        <v>40</v>
      </c>
      <c r="L727" s="25" t="s">
        <v>30</v>
      </c>
      <c r="M727" s="25" t="s">
        <v>55</v>
      </c>
      <c r="N727" s="25" t="s">
        <v>32</v>
      </c>
      <c r="O727" t="s">
        <v>32</v>
      </c>
      <c r="P727" s="32">
        <v>-58621.37</v>
      </c>
      <c r="Q727" s="30">
        <v>7702</v>
      </c>
      <c r="R727" s="30"/>
      <c r="S727" s="30" t="e">
        <v>#N/A</v>
      </c>
      <c r="T727" t="s">
        <v>34</v>
      </c>
      <c r="U727" s="31" t="e">
        <v>#N/A</v>
      </c>
      <c r="V727" t="s">
        <v>34</v>
      </c>
      <c r="Y727" t="e">
        <f>VLOOKUP(A727,[2]!PRGX[[#All],[Proveedor]],1,FALSE)</f>
        <v>#REF!</v>
      </c>
    </row>
    <row r="728" spans="1:26" x14ac:dyDescent="0.25">
      <c r="A728" s="52">
        <v>33241</v>
      </c>
      <c r="B728" s="52" t="s">
        <v>754</v>
      </c>
      <c r="C728" s="53">
        <v>12502</v>
      </c>
      <c r="D728" s="54">
        <v>92022938.579999998</v>
      </c>
      <c r="E728" s="27">
        <v>75823188.480000004</v>
      </c>
      <c r="F728" s="27">
        <v>16199750.1</v>
      </c>
      <c r="G728" s="54">
        <f>VLOOKUP(A728,'[1]saldos al 26May26'!$C$2:$I$1010,7,FALSE)</f>
        <v>-4067735.76</v>
      </c>
      <c r="H728" s="54"/>
      <c r="I728" s="55"/>
      <c r="J728" s="56">
        <v>1156554.9223098774</v>
      </c>
      <c r="K728" s="52" t="s">
        <v>40</v>
      </c>
      <c r="L728" s="52" t="s">
        <v>30</v>
      </c>
      <c r="M728" s="52" t="s">
        <v>59</v>
      </c>
      <c r="N728" s="52" t="s">
        <v>32</v>
      </c>
      <c r="O728" s="57" t="s">
        <v>32</v>
      </c>
      <c r="P728" s="59">
        <v>-882312.07000000007</v>
      </c>
      <c r="Q728" s="58">
        <v>404368.55</v>
      </c>
      <c r="R728" s="30"/>
      <c r="S728" s="30" t="s">
        <v>63</v>
      </c>
      <c r="T728" s="57" t="s">
        <v>33</v>
      </c>
      <c r="U728" s="31" t="s">
        <v>33</v>
      </c>
      <c r="V728" t="s">
        <v>33</v>
      </c>
      <c r="Y728" t="e">
        <f>VLOOKUP(A728,[2]!PRGX[[#All],[Proveedor]],1,FALSE)</f>
        <v>#REF!</v>
      </c>
    </row>
    <row r="729" spans="1:26" x14ac:dyDescent="0.25">
      <c r="A729" s="25">
        <v>62166</v>
      </c>
      <c r="B729" s="25" t="s">
        <v>755</v>
      </c>
      <c r="C729" s="26">
        <v>10979</v>
      </c>
      <c r="D729" s="27">
        <v>91119252.510000005</v>
      </c>
      <c r="E729" s="27">
        <v>74802884.030000001</v>
      </c>
      <c r="F729" s="27">
        <v>16316368.48</v>
      </c>
      <c r="G729" s="27">
        <f>VLOOKUP(A729,'[1]saldos al 26May26'!$C$2:$I$1010,7,FALSE)</f>
        <v>-1121847.3899999999</v>
      </c>
      <c r="H729" s="27"/>
      <c r="I729" s="28"/>
      <c r="J729" s="29">
        <v>37922.799479973997</v>
      </c>
      <c r="K729" s="25" t="s">
        <v>40</v>
      </c>
      <c r="L729" s="25" t="s">
        <v>30</v>
      </c>
      <c r="M729" s="25" t="s">
        <v>31</v>
      </c>
      <c r="N729" s="25" t="s">
        <v>67</v>
      </c>
      <c r="O729" t="s">
        <v>67</v>
      </c>
      <c r="P729" s="32">
        <v>-24029.56</v>
      </c>
      <c r="Q729" s="30">
        <v>1394.77</v>
      </c>
      <c r="R729" s="30"/>
      <c r="S729" s="30">
        <v>0</v>
      </c>
      <c r="T729" t="s">
        <v>34</v>
      </c>
      <c r="U729" s="31">
        <v>0</v>
      </c>
      <c r="V729" t="s">
        <v>42</v>
      </c>
      <c r="Y729" t="e">
        <f>VLOOKUP(A729,[2]!PRGX[[#All],[Proveedor]],1,FALSE)</f>
        <v>#REF!</v>
      </c>
    </row>
    <row r="730" spans="1:26" x14ac:dyDescent="0.25">
      <c r="A730" s="25">
        <v>7410</v>
      </c>
      <c r="B730" s="25" t="s">
        <v>116</v>
      </c>
      <c r="C730" s="26">
        <v>87901</v>
      </c>
      <c r="D730" s="27">
        <v>639440411.33000004</v>
      </c>
      <c r="E730" s="27">
        <v>554306733.29000008</v>
      </c>
      <c r="F730" s="27">
        <v>85133678.040000007</v>
      </c>
      <c r="G730" s="27">
        <f>VLOOKUP(A730,'[1]saldos al 26May26'!$C$2:$I$1010,7,FALSE)</f>
        <v>-34073368.079999998</v>
      </c>
      <c r="H730" s="27"/>
      <c r="I730" s="28"/>
      <c r="J730" s="29"/>
      <c r="K730" s="25" t="s">
        <v>29</v>
      </c>
      <c r="L730" s="25" t="s">
        <v>30</v>
      </c>
      <c r="M730" s="25" t="s">
        <v>59</v>
      </c>
      <c r="N730" s="25"/>
      <c r="O730" t="s">
        <v>56</v>
      </c>
      <c r="P730" s="30">
        <v>2889277.0400000005</v>
      </c>
      <c r="Q730" s="30">
        <v>3975648</v>
      </c>
      <c r="R730" s="30">
        <v>500000</v>
      </c>
      <c r="S730" s="30" t="s">
        <v>63</v>
      </c>
      <c r="T730" t="s">
        <v>33</v>
      </c>
      <c r="U730" s="31">
        <v>0</v>
      </c>
      <c r="V730" t="s">
        <v>42</v>
      </c>
      <c r="Y730" t="e">
        <f>VLOOKUP(A730,[2]!PRGX[[#All],[Proveedor]],1,FALSE)</f>
        <v>#REF!</v>
      </c>
    </row>
    <row r="731" spans="1:26" x14ac:dyDescent="0.25">
      <c r="A731" s="25">
        <v>20364</v>
      </c>
      <c r="B731" s="25" t="s">
        <v>756</v>
      </c>
      <c r="C731" s="26">
        <v>4314</v>
      </c>
      <c r="D731" s="27">
        <v>89566953.379999995</v>
      </c>
      <c r="E731" s="27">
        <v>79875941.949999988</v>
      </c>
      <c r="F731" s="27">
        <v>9691011.4299999997</v>
      </c>
      <c r="G731" s="27">
        <f>VLOOKUP(A731,'[1]saldos al 26May26'!$C$2:$I$1010,7,FALSE)</f>
        <v>-1484867.74</v>
      </c>
      <c r="H731" s="27"/>
      <c r="I731" s="28"/>
      <c r="J731" s="29"/>
      <c r="K731" s="25" t="s">
        <v>29</v>
      </c>
      <c r="L731" s="25" t="s">
        <v>30</v>
      </c>
      <c r="M731" s="25" t="s">
        <v>50</v>
      </c>
      <c r="N731" s="25"/>
      <c r="O731" t="s">
        <v>32</v>
      </c>
      <c r="P731" s="32">
        <v>-122811.04000000001</v>
      </c>
      <c r="Q731" s="30">
        <v>0</v>
      </c>
      <c r="R731" s="30"/>
      <c r="S731" s="30" t="s">
        <v>63</v>
      </c>
      <c r="T731" t="s">
        <v>33</v>
      </c>
      <c r="U731" s="31" t="e">
        <v>#N/A</v>
      </c>
      <c r="V731" t="s">
        <v>34</v>
      </c>
      <c r="Y731" t="e">
        <f>VLOOKUP(A731,[2]!PRGX[[#All],[Proveedor]],1,FALSE)</f>
        <v>#REF!</v>
      </c>
    </row>
    <row r="732" spans="1:26" x14ac:dyDescent="0.25">
      <c r="A732" s="25">
        <v>337956</v>
      </c>
      <c r="B732" s="25" t="s">
        <v>757</v>
      </c>
      <c r="C732" s="26">
        <v>16912</v>
      </c>
      <c r="D732" s="27">
        <v>89127483.819999993</v>
      </c>
      <c r="E732" s="27">
        <v>71200514.229999989</v>
      </c>
      <c r="F732" s="27">
        <v>17926969.59</v>
      </c>
      <c r="G732" s="27">
        <f>VLOOKUP(A732,'[1]saldos al 26May26'!$C$2:$I$1010,7,FALSE)</f>
        <v>-940897.17</v>
      </c>
      <c r="H732" s="27"/>
      <c r="I732" s="28"/>
      <c r="J732" s="29">
        <v>151689.97050856749</v>
      </c>
      <c r="K732" s="25" t="s">
        <v>40</v>
      </c>
      <c r="L732" s="25" t="s">
        <v>30</v>
      </c>
      <c r="M732" s="25" t="s">
        <v>31</v>
      </c>
      <c r="N732" s="25" t="s">
        <v>96</v>
      </c>
      <c r="O732" t="s">
        <v>96</v>
      </c>
      <c r="P732" s="32">
        <v>-67081.259999999995</v>
      </c>
      <c r="Q732" s="30">
        <v>148128.13</v>
      </c>
      <c r="R732" s="30"/>
      <c r="S732" s="30" t="e">
        <v>#N/A</v>
      </c>
      <c r="T732" t="s">
        <v>34</v>
      </c>
      <c r="U732" s="31">
        <v>0</v>
      </c>
      <c r="V732" t="s">
        <v>42</v>
      </c>
      <c r="Y732" t="e">
        <f>VLOOKUP(A732,[2]!PRGX[[#All],[Proveedor]],1,FALSE)</f>
        <v>#REF!</v>
      </c>
    </row>
    <row r="733" spans="1:26" x14ac:dyDescent="0.25">
      <c r="A733" s="25">
        <v>328583</v>
      </c>
      <c r="B733" s="25" t="s">
        <v>758</v>
      </c>
      <c r="C733" s="26">
        <v>999</v>
      </c>
      <c r="D733" s="27">
        <v>627227921.15460002</v>
      </c>
      <c r="E733" s="27">
        <v>557892530.88960004</v>
      </c>
      <c r="F733" s="27">
        <v>69335390.265000001</v>
      </c>
      <c r="G733" s="27">
        <f>VLOOKUP(A733,'[1]saldos al 26May26'!$C$2:$I$1010,7,FALSE)</f>
        <v>-3895648.62</v>
      </c>
      <c r="H733" s="27"/>
      <c r="I733" s="28" t="s">
        <v>27</v>
      </c>
      <c r="J733" s="29"/>
      <c r="K733" s="25" t="s">
        <v>29</v>
      </c>
      <c r="L733" s="25" t="s">
        <v>30</v>
      </c>
      <c r="M733" s="25" t="s">
        <v>31</v>
      </c>
      <c r="N733" s="25"/>
      <c r="O733" t="s">
        <v>56</v>
      </c>
      <c r="P733" s="32">
        <v>-7898252.0499999998</v>
      </c>
      <c r="Q733" s="30">
        <v>0</v>
      </c>
      <c r="R733" s="30"/>
      <c r="S733" s="30" t="s">
        <v>33</v>
      </c>
      <c r="T733" t="s">
        <v>33</v>
      </c>
      <c r="U733" s="31" t="e">
        <v>#N/A</v>
      </c>
      <c r="V733" t="s">
        <v>34</v>
      </c>
      <c r="Y733" t="e">
        <f>VLOOKUP(A733,[2]!PRGX[[#All],[Proveedor]],1,FALSE)</f>
        <v>#REF!</v>
      </c>
      <c r="Z733">
        <v>328583</v>
      </c>
    </row>
    <row r="734" spans="1:26" x14ac:dyDescent="0.25">
      <c r="A734" s="52">
        <v>339</v>
      </c>
      <c r="B734" s="52" t="s">
        <v>759</v>
      </c>
      <c r="C734" s="53">
        <v>6732</v>
      </c>
      <c r="D734" s="54">
        <v>88516529.109999999</v>
      </c>
      <c r="E734" s="27">
        <v>65562747.609999999</v>
      </c>
      <c r="F734" s="27">
        <v>22953781.5</v>
      </c>
      <c r="G734" s="54">
        <f>VLOOKUP(A734,'[1]saldos al 26May26'!$C$2:$I$1010,7,FALSE)</f>
        <v>-1106064.78</v>
      </c>
      <c r="H734" s="54"/>
      <c r="I734" s="55"/>
      <c r="J734" s="56">
        <v>549853.68481641239</v>
      </c>
      <c r="K734" s="52" t="s">
        <v>40</v>
      </c>
      <c r="L734" s="52" t="s">
        <v>30</v>
      </c>
      <c r="M734" s="52" t="s">
        <v>50</v>
      </c>
      <c r="N734" s="52" t="s">
        <v>51</v>
      </c>
      <c r="O734" s="57" t="s">
        <v>51</v>
      </c>
      <c r="P734" s="59">
        <v>-325762.28999999998</v>
      </c>
      <c r="Q734" s="58">
        <v>0</v>
      </c>
      <c r="R734" s="30"/>
      <c r="S734" s="30" t="e">
        <v>#N/A</v>
      </c>
      <c r="T734" s="57" t="s">
        <v>34</v>
      </c>
      <c r="U734" s="31" t="e">
        <v>#N/A</v>
      </c>
      <c r="V734" s="57" t="s">
        <v>34</v>
      </c>
      <c r="X734" t="s">
        <v>43</v>
      </c>
      <c r="Y734" t="e">
        <f>VLOOKUP(A734,[2]!PRGX[[#All],[Proveedor]],1,FALSE)</f>
        <v>#REF!</v>
      </c>
    </row>
    <row r="735" spans="1:26" x14ac:dyDescent="0.25">
      <c r="A735" s="25">
        <v>11874</v>
      </c>
      <c r="B735" s="25" t="s">
        <v>760</v>
      </c>
      <c r="C735" s="26">
        <v>683</v>
      </c>
      <c r="D735" s="27">
        <v>87068665.280000001</v>
      </c>
      <c r="E735" s="27">
        <v>71657069.280000001</v>
      </c>
      <c r="F735" s="27">
        <v>15411596</v>
      </c>
      <c r="G735" s="27">
        <f>VLOOKUP(A735,'[1]saldos al 26May26'!$C$2:$I$1010,7,FALSE)</f>
        <v>-749839.2</v>
      </c>
      <c r="H735" s="27"/>
      <c r="I735" s="28"/>
      <c r="J735" s="29">
        <v>91940.360892934987</v>
      </c>
      <c r="K735" s="25" t="s">
        <v>40</v>
      </c>
      <c r="L735" s="25" t="s">
        <v>30</v>
      </c>
      <c r="M735" s="25" t="s">
        <v>31</v>
      </c>
      <c r="N735" s="25" t="s">
        <v>41</v>
      </c>
      <c r="O735" t="s">
        <v>41</v>
      </c>
      <c r="P735" s="32">
        <v>-3168454.8</v>
      </c>
      <c r="Q735" s="30">
        <v>0</v>
      </c>
      <c r="R735" s="30">
        <v>10735.5</v>
      </c>
      <c r="S735" s="30" t="s">
        <v>63</v>
      </c>
      <c r="T735" s="57" t="s">
        <v>33</v>
      </c>
      <c r="U735" s="31" t="s">
        <v>33</v>
      </c>
      <c r="V735" t="s">
        <v>33</v>
      </c>
      <c r="Y735" t="e">
        <f>VLOOKUP(A735,[2]!PRGX[[#All],[Proveedor]],1,FALSE)</f>
        <v>#REF!</v>
      </c>
    </row>
    <row r="736" spans="1:26" x14ac:dyDescent="0.25">
      <c r="A736" s="52">
        <v>391219</v>
      </c>
      <c r="B736" s="52" t="s">
        <v>761</v>
      </c>
      <c r="C736" s="53">
        <v>16515</v>
      </c>
      <c r="D736" s="54">
        <v>86083782.909999996</v>
      </c>
      <c r="E736" s="27">
        <v>70242523.349999994</v>
      </c>
      <c r="F736" s="27">
        <v>15841259.560000001</v>
      </c>
      <c r="G736" s="54">
        <f>VLOOKUP(A736,'[1]saldos al 26May26'!$C$2:$I$1010,7,FALSE)</f>
        <v>-3092069.1</v>
      </c>
      <c r="H736" s="54"/>
      <c r="I736" s="55"/>
      <c r="J736" s="56">
        <v>62962.500623012005</v>
      </c>
      <c r="K736" s="52" t="s">
        <v>40</v>
      </c>
      <c r="L736" s="52" t="s">
        <v>30</v>
      </c>
      <c r="M736" s="52" t="s">
        <v>55</v>
      </c>
      <c r="N736" s="52" t="s">
        <v>51</v>
      </c>
      <c r="O736" s="57" t="s">
        <v>51</v>
      </c>
      <c r="P736" s="58">
        <v>43350.590000000026</v>
      </c>
      <c r="Q736" s="58">
        <v>676641.93</v>
      </c>
      <c r="R736" s="30"/>
      <c r="S736" s="30" t="e">
        <v>#N/A</v>
      </c>
      <c r="T736" s="57" t="s">
        <v>34</v>
      </c>
      <c r="U736" s="31">
        <v>0</v>
      </c>
      <c r="V736" s="57" t="s">
        <v>42</v>
      </c>
      <c r="X736" t="s">
        <v>43</v>
      </c>
      <c r="Y736" t="e">
        <f>VLOOKUP(A736,[2]!PRGX[[#All],[Proveedor]],1,FALSE)</f>
        <v>#REF!</v>
      </c>
    </row>
    <row r="737" spans="1:25" ht="18" customHeight="1" x14ac:dyDescent="0.25">
      <c r="A737" s="25">
        <v>38232</v>
      </c>
      <c r="B737" s="25" t="s">
        <v>762</v>
      </c>
      <c r="C737" s="26">
        <v>8378</v>
      </c>
      <c r="D737" s="27">
        <v>86043801.810000002</v>
      </c>
      <c r="E737" s="27">
        <v>72274931.510000005</v>
      </c>
      <c r="F737" s="27">
        <v>13768870.300000001</v>
      </c>
      <c r="G737" s="27">
        <f>VLOOKUP(A737,'[1]saldos al 26May26'!$C$2:$I$1010,7,FALSE)</f>
        <v>-553401.75</v>
      </c>
      <c r="H737" s="27"/>
      <c r="I737" s="28"/>
      <c r="J737" s="29">
        <v>84985.346921386503</v>
      </c>
      <c r="K737" s="25" t="s">
        <v>40</v>
      </c>
      <c r="L737" s="25" t="s">
        <v>30</v>
      </c>
      <c r="M737" s="25" t="s">
        <v>31</v>
      </c>
      <c r="N737" s="25" t="s">
        <v>70</v>
      </c>
      <c r="O737" t="s">
        <v>70</v>
      </c>
      <c r="P737" s="32">
        <v>-101628.37</v>
      </c>
      <c r="Q737" s="30">
        <v>0</v>
      </c>
      <c r="R737" s="30"/>
      <c r="S737" s="30" t="s">
        <v>63</v>
      </c>
      <c r="T737" s="57" t="s">
        <v>33</v>
      </c>
      <c r="U737" s="31" t="s">
        <v>33</v>
      </c>
      <c r="V737" t="s">
        <v>33</v>
      </c>
      <c r="Y737" t="e">
        <f>VLOOKUP(A737,[2]!PRGX[[#All],[Proveedor]],1,FALSE)</f>
        <v>#REF!</v>
      </c>
    </row>
    <row r="738" spans="1:25" ht="31.5" customHeight="1" x14ac:dyDescent="0.25">
      <c r="A738" s="25">
        <v>50542</v>
      </c>
      <c r="B738" s="25" t="s">
        <v>763</v>
      </c>
      <c r="C738" s="26">
        <v>7765</v>
      </c>
      <c r="D738" s="27">
        <v>85672511.689999998</v>
      </c>
      <c r="E738" s="27">
        <v>73142213.189999998</v>
      </c>
      <c r="F738" s="27">
        <v>12530298.5</v>
      </c>
      <c r="G738" s="27">
        <f>VLOOKUP(A738,'[1]saldos al 26May26'!$C$2:$I$1010,7,FALSE)</f>
        <v>-1221728.46</v>
      </c>
      <c r="H738" s="27"/>
      <c r="I738" s="28"/>
      <c r="J738" s="29"/>
      <c r="K738" s="25" t="s">
        <v>29</v>
      </c>
      <c r="L738" s="25" t="s">
        <v>30</v>
      </c>
      <c r="M738" s="25" t="s">
        <v>31</v>
      </c>
      <c r="N738" s="25"/>
      <c r="O738" t="s">
        <v>51</v>
      </c>
      <c r="P738" s="32">
        <v>-838331.52</v>
      </c>
      <c r="Q738" s="30">
        <v>51850.239999999998</v>
      </c>
      <c r="R738" s="30"/>
      <c r="S738" s="30" t="s">
        <v>63</v>
      </c>
      <c r="T738" t="s">
        <v>33</v>
      </c>
      <c r="U738" s="31" t="e">
        <v>#N/A</v>
      </c>
      <c r="V738" t="s">
        <v>34</v>
      </c>
      <c r="Y738" t="e">
        <f>VLOOKUP(A738,[2]!PRGX[[#All],[Proveedor]],1,FALSE)</f>
        <v>#REF!</v>
      </c>
    </row>
    <row r="739" spans="1:25" x14ac:dyDescent="0.25">
      <c r="A739" s="25">
        <v>394882</v>
      </c>
      <c r="B739" s="25" t="s">
        <v>764</v>
      </c>
      <c r="C739" s="26">
        <v>23547</v>
      </c>
      <c r="D739" s="27">
        <v>84957272.810000002</v>
      </c>
      <c r="E739" s="27">
        <v>68965852.129999995</v>
      </c>
      <c r="F739" s="27">
        <v>15991420.68</v>
      </c>
      <c r="G739" s="27">
        <f>VLOOKUP(A739,'[1]saldos al 26May26'!$C$2:$I$1010,7,FALSE)</f>
        <v>-4054459.9</v>
      </c>
      <c r="H739" s="27"/>
      <c r="I739" s="28"/>
      <c r="J739" s="29">
        <v>65232.178095949996</v>
      </c>
      <c r="K739" s="25" t="s">
        <v>40</v>
      </c>
      <c r="L739" s="25" t="s">
        <v>30</v>
      </c>
      <c r="M739" s="25" t="s">
        <v>55</v>
      </c>
      <c r="N739" s="25" t="s">
        <v>45</v>
      </c>
      <c r="O739" t="s">
        <v>45</v>
      </c>
      <c r="P739" s="32">
        <v>-107870.93000000001</v>
      </c>
      <c r="Q739" s="30">
        <v>0</v>
      </c>
      <c r="R739" s="30"/>
      <c r="S739" s="30" t="e">
        <v>#N/A</v>
      </c>
      <c r="T739" t="s">
        <v>34</v>
      </c>
      <c r="U739" s="31" t="e">
        <v>#N/A</v>
      </c>
      <c r="V739" t="s">
        <v>34</v>
      </c>
      <c r="Y739" t="e">
        <f>VLOOKUP(A739,[2]!PRGX[[#All],[Proveedor]],1,FALSE)</f>
        <v>#REF!</v>
      </c>
    </row>
    <row r="740" spans="1:25" x14ac:dyDescent="0.25">
      <c r="A740" s="25">
        <v>315432</v>
      </c>
      <c r="B740" s="25" t="s">
        <v>765</v>
      </c>
      <c r="C740" s="26">
        <v>5106</v>
      </c>
      <c r="D740" s="27">
        <v>84880215.200000003</v>
      </c>
      <c r="E740" s="27">
        <v>70994217.200000003</v>
      </c>
      <c r="F740" s="27">
        <v>13885998</v>
      </c>
      <c r="G740" s="27">
        <f>VLOOKUP(A740,'[1]saldos al 26May26'!$C$2:$I$1010,7,FALSE)</f>
        <v>-2864090.91</v>
      </c>
      <c r="H740" s="27"/>
      <c r="I740" s="28"/>
      <c r="J740" s="29">
        <v>302028.80318916903</v>
      </c>
      <c r="K740" s="25" t="s">
        <v>40</v>
      </c>
      <c r="L740" s="25" t="s">
        <v>30</v>
      </c>
      <c r="M740" s="25" t="s">
        <v>31</v>
      </c>
      <c r="N740" s="25" t="s">
        <v>41</v>
      </c>
      <c r="O740" t="s">
        <v>41</v>
      </c>
      <c r="P740" s="30">
        <v>6484.380000000001</v>
      </c>
      <c r="Q740" s="30">
        <v>0</v>
      </c>
      <c r="R740" s="30">
        <v>86375</v>
      </c>
      <c r="S740" s="30" t="s">
        <v>63</v>
      </c>
      <c r="T740" s="57" t="s">
        <v>33</v>
      </c>
      <c r="U740" s="31" t="s">
        <v>33</v>
      </c>
      <c r="V740" t="s">
        <v>33</v>
      </c>
      <c r="Y740" t="e">
        <f>VLOOKUP(A740,[2]!PRGX[[#All],[Proveedor]],1,FALSE)</f>
        <v>#REF!</v>
      </c>
    </row>
    <row r="741" spans="1:25" x14ac:dyDescent="0.25">
      <c r="A741" s="52">
        <v>40477</v>
      </c>
      <c r="B741" s="52" t="s">
        <v>766</v>
      </c>
      <c r="C741" s="53">
        <v>32180</v>
      </c>
      <c r="D741" s="54">
        <v>84473817.746099994</v>
      </c>
      <c r="E741" s="27">
        <v>70176547.030000001</v>
      </c>
      <c r="F741" s="27">
        <v>14297270.7161</v>
      </c>
      <c r="G741" s="54">
        <f>VLOOKUP(A741,'[1]saldos al 26May26'!$C$2:$I$1010,7,FALSE)</f>
        <v>-2714829.6</v>
      </c>
      <c r="H741" s="54"/>
      <c r="I741" s="55"/>
      <c r="J741" s="56">
        <v>367338.20579918346</v>
      </c>
      <c r="K741" s="52" t="s">
        <v>40</v>
      </c>
      <c r="L741" s="52" t="s">
        <v>30</v>
      </c>
      <c r="M741" s="52" t="s">
        <v>31</v>
      </c>
      <c r="N741" s="52" t="s">
        <v>96</v>
      </c>
      <c r="O741" s="57" t="s">
        <v>96</v>
      </c>
      <c r="P741" s="59">
        <v>-460287.07</v>
      </c>
      <c r="Q741" s="58">
        <v>31668.21</v>
      </c>
      <c r="R741" s="30"/>
      <c r="S741" s="30" t="e">
        <v>#N/A</v>
      </c>
      <c r="T741" s="57" t="s">
        <v>34</v>
      </c>
      <c r="U741" s="31">
        <v>0</v>
      </c>
      <c r="V741" s="57" t="s">
        <v>42</v>
      </c>
      <c r="X741" t="s">
        <v>43</v>
      </c>
      <c r="Y741" t="e">
        <f>VLOOKUP(A741,[2]!PRGX[[#All],[Proveedor]],1,FALSE)</f>
        <v>#REF!</v>
      </c>
    </row>
    <row r="742" spans="1:25" x14ac:dyDescent="0.25">
      <c r="A742" s="25">
        <v>64881</v>
      </c>
      <c r="B742" s="25" t="s">
        <v>767</v>
      </c>
      <c r="C742" s="26">
        <v>6234</v>
      </c>
      <c r="D742" s="27">
        <v>84469828.200000003</v>
      </c>
      <c r="E742" s="27">
        <v>67646716.200000003</v>
      </c>
      <c r="F742" s="27">
        <v>16823112</v>
      </c>
      <c r="G742" s="27">
        <f>VLOOKUP(A742,'[1]saldos al 26May26'!$C$2:$I$1010,7,FALSE)</f>
        <v>-263837.77</v>
      </c>
      <c r="H742" s="27"/>
      <c r="I742" s="28"/>
      <c r="J742" s="29">
        <v>46699.702610038003</v>
      </c>
      <c r="K742" s="25" t="s">
        <v>40</v>
      </c>
      <c r="L742" s="25" t="s">
        <v>30</v>
      </c>
      <c r="M742" s="25" t="s">
        <v>55</v>
      </c>
      <c r="N742" s="25" t="s">
        <v>96</v>
      </c>
      <c r="O742" t="s">
        <v>96</v>
      </c>
      <c r="P742" s="32">
        <v>-153924</v>
      </c>
      <c r="Q742" s="30">
        <v>0</v>
      </c>
      <c r="R742" s="30"/>
      <c r="S742" s="30" t="e">
        <v>#N/A</v>
      </c>
      <c r="T742" t="s">
        <v>34</v>
      </c>
      <c r="U742" s="31">
        <v>0</v>
      </c>
      <c r="V742" t="s">
        <v>42</v>
      </c>
      <c r="Y742" t="e">
        <f>VLOOKUP(A742,[2]!PRGX[[#All],[Proveedor]],1,FALSE)</f>
        <v>#REF!</v>
      </c>
    </row>
    <row r="743" spans="1:25" x14ac:dyDescent="0.25">
      <c r="A743" s="25">
        <v>24498</v>
      </c>
      <c r="B743" s="25" t="s">
        <v>768</v>
      </c>
      <c r="C743" s="26">
        <v>1042</v>
      </c>
      <c r="D743" s="27">
        <v>83717491.200000003</v>
      </c>
      <c r="E743" s="27">
        <v>37487923.200000003</v>
      </c>
      <c r="F743" s="27">
        <v>46229568</v>
      </c>
      <c r="G743" s="27">
        <f>VLOOKUP(A743,'[1]saldos al 26May26'!$C$2:$I$1010,7,FALSE)</f>
        <v>-2865827.32</v>
      </c>
      <c r="H743" s="27"/>
      <c r="I743" s="28"/>
      <c r="J743" s="29"/>
      <c r="K743" s="25" t="s">
        <v>40</v>
      </c>
      <c r="L743" s="25" t="s">
        <v>30</v>
      </c>
      <c r="M743" s="25" t="s">
        <v>55</v>
      </c>
      <c r="N743" s="25" t="s">
        <v>80</v>
      </c>
      <c r="O743" t="s">
        <v>80</v>
      </c>
      <c r="P743" s="32">
        <v>-1247.24</v>
      </c>
      <c r="Q743" s="30">
        <v>0</v>
      </c>
      <c r="R743" s="30"/>
      <c r="S743" s="30" t="e">
        <v>#N/A</v>
      </c>
      <c r="T743" t="s">
        <v>34</v>
      </c>
      <c r="U743" s="31" t="e">
        <v>#N/A</v>
      </c>
      <c r="V743" t="s">
        <v>34</v>
      </c>
      <c r="Y743" t="e">
        <f>VLOOKUP(A743,[2]!PRGX[[#All],[Proveedor]],1,FALSE)</f>
        <v>#REF!</v>
      </c>
    </row>
    <row r="744" spans="1:25" x14ac:dyDescent="0.25">
      <c r="A744" s="25">
        <v>23460</v>
      </c>
      <c r="B744" s="25" t="s">
        <v>769</v>
      </c>
      <c r="C744" s="26">
        <v>19358</v>
      </c>
      <c r="D744" s="27">
        <v>82440988.980000004</v>
      </c>
      <c r="E744" s="27">
        <v>17340759.800000004</v>
      </c>
      <c r="F744" s="27">
        <v>65100229.18</v>
      </c>
      <c r="G744" s="27">
        <f>VLOOKUP(A744,'[1]saldos al 26May26'!$C$2:$I$1010,7,FALSE)</f>
        <v>-12666107.460000001</v>
      </c>
      <c r="H744" s="27"/>
      <c r="I744" s="28"/>
      <c r="J744" s="29"/>
      <c r="K744" s="25" t="s">
        <v>40</v>
      </c>
      <c r="L744" s="25" t="s">
        <v>30</v>
      </c>
      <c r="M744" s="25" t="s">
        <v>55</v>
      </c>
      <c r="N744" s="25" t="s">
        <v>36</v>
      </c>
      <c r="O744" t="s">
        <v>36</v>
      </c>
      <c r="P744" s="32">
        <v>-159325.59</v>
      </c>
      <c r="Q744" s="30">
        <v>0</v>
      </c>
      <c r="R744" s="30"/>
      <c r="S744" s="30" t="e">
        <v>#N/A</v>
      </c>
      <c r="T744" t="s">
        <v>34</v>
      </c>
      <c r="U744" s="31" t="e">
        <v>#N/A</v>
      </c>
      <c r="V744" t="s">
        <v>34</v>
      </c>
      <c r="Y744" t="e">
        <f>VLOOKUP(A744,[2]!PRGX[[#All],[Proveedor]],1,FALSE)</f>
        <v>#REF!</v>
      </c>
    </row>
    <row r="745" spans="1:25" x14ac:dyDescent="0.25">
      <c r="A745" s="52">
        <v>329763</v>
      </c>
      <c r="B745" s="52" t="s">
        <v>770</v>
      </c>
      <c r="C745" s="53">
        <v>11504</v>
      </c>
      <c r="D745" s="54">
        <v>82170383.219999999</v>
      </c>
      <c r="E745" s="27">
        <v>69791636.75</v>
      </c>
      <c r="F745" s="27">
        <v>12378746.470000001</v>
      </c>
      <c r="G745" s="54">
        <f>VLOOKUP(A745,'[1]saldos al 26May26'!$C$2:$I$1010,7,FALSE)</f>
        <v>-1707576.51</v>
      </c>
      <c r="H745" s="54"/>
      <c r="I745" s="55"/>
      <c r="J745" s="56">
        <v>1090586.3448732761</v>
      </c>
      <c r="K745" s="52" t="s">
        <v>40</v>
      </c>
      <c r="L745" s="52" t="s">
        <v>30</v>
      </c>
      <c r="M745" s="52" t="s">
        <v>59</v>
      </c>
      <c r="N745" s="52" t="s">
        <v>51</v>
      </c>
      <c r="O745" s="57" t="s">
        <v>771</v>
      </c>
      <c r="P745" s="59">
        <v>-9435.130000000001</v>
      </c>
      <c r="Q745" s="58">
        <v>17518.11</v>
      </c>
      <c r="R745" s="30"/>
      <c r="S745" s="30" t="s">
        <v>63</v>
      </c>
      <c r="T745" s="57" t="s">
        <v>33</v>
      </c>
      <c r="U745" s="31" t="s">
        <v>33</v>
      </c>
      <c r="V745" t="s">
        <v>33</v>
      </c>
      <c r="Y745" t="e">
        <f>VLOOKUP(A745,[2]!PRGX[[#All],[Proveedor]],1,FALSE)</f>
        <v>#REF!</v>
      </c>
    </row>
    <row r="746" spans="1:25" x14ac:dyDescent="0.25">
      <c r="A746" s="52">
        <v>326603</v>
      </c>
      <c r="B746" s="52" t="s">
        <v>772</v>
      </c>
      <c r="C746" s="53">
        <v>764</v>
      </c>
      <c r="D746" s="54">
        <v>81809581.290000007</v>
      </c>
      <c r="E746" s="27">
        <v>61616034.290000007</v>
      </c>
      <c r="F746" s="27">
        <v>20193547</v>
      </c>
      <c r="G746" s="54">
        <f>VLOOKUP(A746,'[1]saldos al 26May26'!$C$2:$I$1010,7,FALSE)</f>
        <v>-6507240.0800000001</v>
      </c>
      <c r="H746" s="54"/>
      <c r="I746" s="55"/>
      <c r="J746" s="56">
        <v>497087.61272554699</v>
      </c>
      <c r="K746" s="52" t="s">
        <v>40</v>
      </c>
      <c r="L746" s="52" t="s">
        <v>30</v>
      </c>
      <c r="M746" s="52" t="s">
        <v>50</v>
      </c>
      <c r="N746" s="52" t="s">
        <v>32</v>
      </c>
      <c r="O746" s="57" t="s">
        <v>32</v>
      </c>
      <c r="P746" s="58">
        <v>0</v>
      </c>
      <c r="Q746" s="58">
        <v>0</v>
      </c>
      <c r="R746" s="30"/>
      <c r="S746" s="30" t="e">
        <v>#N/A</v>
      </c>
      <c r="T746" s="57" t="s">
        <v>34</v>
      </c>
      <c r="U746" s="31" t="e">
        <v>#N/A</v>
      </c>
      <c r="V746" s="57" t="s">
        <v>34</v>
      </c>
      <c r="X746" t="s">
        <v>43</v>
      </c>
      <c r="Y746" t="e">
        <f>VLOOKUP(A746,[2]!PRGX[[#All],[Proveedor]],1,FALSE)</f>
        <v>#REF!</v>
      </c>
    </row>
    <row r="747" spans="1:25" x14ac:dyDescent="0.25">
      <c r="A747" s="25">
        <v>328658</v>
      </c>
      <c r="B747" s="25" t="s">
        <v>773</v>
      </c>
      <c r="C747" s="26">
        <v>40483</v>
      </c>
      <c r="D747" s="27">
        <v>81730819.419400007</v>
      </c>
      <c r="E747" s="27">
        <v>76370894.069400012</v>
      </c>
      <c r="F747" s="27">
        <v>5359925.3499999996</v>
      </c>
      <c r="G747" s="27">
        <f>VLOOKUP(A747,'[1]saldos al 26May26'!$C$2:$I$1010,7,FALSE)</f>
        <v>-245919.08</v>
      </c>
      <c r="H747" s="27"/>
      <c r="I747" s="28"/>
      <c r="J747" s="29">
        <v>1107485.4059701245</v>
      </c>
      <c r="K747" s="25" t="s">
        <v>40</v>
      </c>
      <c r="L747" s="25" t="s">
        <v>30</v>
      </c>
      <c r="M747" s="25" t="s">
        <v>61</v>
      </c>
      <c r="N747" s="25" t="s">
        <v>38</v>
      </c>
      <c r="O747" t="s">
        <v>38</v>
      </c>
      <c r="P747" s="32">
        <v>-265895.55</v>
      </c>
      <c r="Q747" s="30">
        <v>0</v>
      </c>
      <c r="R747" s="30">
        <v>567819.06999999995</v>
      </c>
      <c r="S747" s="30" t="s">
        <v>63</v>
      </c>
      <c r="T747" t="s">
        <v>33</v>
      </c>
      <c r="U747" s="31" t="s">
        <v>33</v>
      </c>
      <c r="V747" t="s">
        <v>33</v>
      </c>
      <c r="Y747" t="e">
        <f>VLOOKUP(A747,[2]!PRGX[[#All],[Proveedor]],1,FALSE)</f>
        <v>#REF!</v>
      </c>
    </row>
    <row r="748" spans="1:25" x14ac:dyDescent="0.25">
      <c r="A748" s="25">
        <v>51722</v>
      </c>
      <c r="B748" s="25" t="s">
        <v>774</v>
      </c>
      <c r="C748" s="26">
        <v>7902</v>
      </c>
      <c r="D748" s="27">
        <v>81497894.849999994</v>
      </c>
      <c r="E748" s="27">
        <v>72717032.419999987</v>
      </c>
      <c r="F748" s="27">
        <v>8780862.4299999997</v>
      </c>
      <c r="G748" s="27">
        <f>VLOOKUP(A748,'[1]saldos al 26May26'!$C$2:$I$1010,7,FALSE)</f>
        <v>-9817342.3100000005</v>
      </c>
      <c r="H748" s="27"/>
      <c r="I748" s="28"/>
      <c r="J748" s="29"/>
      <c r="K748" s="25" t="s">
        <v>29</v>
      </c>
      <c r="L748" s="25" t="s">
        <v>30</v>
      </c>
      <c r="M748" s="25" t="s">
        <v>55</v>
      </c>
      <c r="N748" s="25"/>
      <c r="O748" t="s">
        <v>47</v>
      </c>
      <c r="P748" s="30">
        <v>295919.95999999996</v>
      </c>
      <c r="Q748" s="30">
        <v>112755.7</v>
      </c>
      <c r="R748" s="30">
        <v>697979</v>
      </c>
      <c r="S748" s="30" t="s">
        <v>63</v>
      </c>
      <c r="T748" t="s">
        <v>33</v>
      </c>
      <c r="U748" s="31" t="e">
        <v>#N/A</v>
      </c>
      <c r="V748" t="s">
        <v>34</v>
      </c>
      <c r="Y748" t="e">
        <f>VLOOKUP(A748,[2]!PRGX[[#All],[Proveedor]],1,FALSE)</f>
        <v>#REF!</v>
      </c>
    </row>
    <row r="749" spans="1:25" x14ac:dyDescent="0.25">
      <c r="A749" s="25">
        <v>391672</v>
      </c>
      <c r="B749" s="25" t="s">
        <v>775</v>
      </c>
      <c r="C749" s="26">
        <v>9817</v>
      </c>
      <c r="D749" s="27">
        <v>81347077.144999996</v>
      </c>
      <c r="E749" s="27">
        <v>74106553.824999988</v>
      </c>
      <c r="F749" s="27">
        <v>7240523.3200000003</v>
      </c>
      <c r="G749" s="27">
        <f>VLOOKUP(A749,'[1]saldos al 26May26'!$C$2:$I$1010,7,FALSE)</f>
        <v>-461773.44</v>
      </c>
      <c r="H749" s="27"/>
      <c r="I749" s="28"/>
      <c r="J749" s="29">
        <v>58113.038537204498</v>
      </c>
      <c r="K749" s="25" t="s">
        <v>40</v>
      </c>
      <c r="L749" s="25" t="s">
        <v>30</v>
      </c>
      <c r="M749" s="25" t="s">
        <v>55</v>
      </c>
      <c r="N749" s="25" t="s">
        <v>32</v>
      </c>
      <c r="O749" t="s">
        <v>32</v>
      </c>
      <c r="P749" s="32">
        <v>-25746.82</v>
      </c>
      <c r="Q749" s="30">
        <v>0</v>
      </c>
      <c r="R749" s="30"/>
      <c r="S749" s="30" t="e">
        <v>#N/A</v>
      </c>
      <c r="T749" t="s">
        <v>34</v>
      </c>
      <c r="U749" s="31" t="e">
        <v>#N/A</v>
      </c>
      <c r="V749" t="s">
        <v>34</v>
      </c>
      <c r="Y749" t="e">
        <f>VLOOKUP(A749,[2]!PRGX[[#All],[Proveedor]],1,FALSE)</f>
        <v>#REF!</v>
      </c>
    </row>
    <row r="750" spans="1:25" x14ac:dyDescent="0.25">
      <c r="A750" s="25">
        <v>24125</v>
      </c>
      <c r="B750" s="25" t="s">
        <v>776</v>
      </c>
      <c r="C750" s="26">
        <v>18847</v>
      </c>
      <c r="D750" s="27">
        <v>81271990.159999996</v>
      </c>
      <c r="E750" s="27">
        <v>72245578.560000002</v>
      </c>
      <c r="F750" s="27">
        <v>9026411.5999999996</v>
      </c>
      <c r="G750" s="27">
        <f>VLOOKUP(A750,'[1]saldos al 26May26'!$C$2:$I$1010,7,FALSE)</f>
        <v>-822862.97</v>
      </c>
      <c r="H750" s="27"/>
      <c r="I750" s="28"/>
      <c r="J750" s="29">
        <v>823926.18765727</v>
      </c>
      <c r="K750" s="25" t="s">
        <v>40</v>
      </c>
      <c r="L750" s="25" t="s">
        <v>30</v>
      </c>
      <c r="M750" s="25" t="s">
        <v>50</v>
      </c>
      <c r="N750" s="25" t="s">
        <v>32</v>
      </c>
      <c r="O750" t="s">
        <v>32</v>
      </c>
      <c r="P750" s="30">
        <v>174068.2</v>
      </c>
      <c r="Q750" s="30">
        <v>0</v>
      </c>
      <c r="R750" s="30"/>
      <c r="S750" s="30" t="s">
        <v>63</v>
      </c>
      <c r="T750" s="57" t="s">
        <v>33</v>
      </c>
      <c r="U750" s="31" t="s">
        <v>33</v>
      </c>
      <c r="V750" t="s">
        <v>33</v>
      </c>
      <c r="Y750" t="e">
        <f>VLOOKUP(A750,[2]!PRGX[[#All],[Proveedor]],1,FALSE)</f>
        <v>#REF!</v>
      </c>
    </row>
    <row r="751" spans="1:25" x14ac:dyDescent="0.25">
      <c r="A751" s="25">
        <v>20949</v>
      </c>
      <c r="B751" s="25" t="s">
        <v>777</v>
      </c>
      <c r="C751" s="26">
        <v>5388</v>
      </c>
      <c r="D751" s="27">
        <v>609755086.39999998</v>
      </c>
      <c r="E751" s="27">
        <v>528132437.59999996</v>
      </c>
      <c r="F751" s="27">
        <v>81622648.799999997</v>
      </c>
      <c r="G751" s="27">
        <f>VLOOKUP(A751,'[1]saldos al 26May26'!$C$2:$I$1010,7,FALSE)</f>
        <v>-4789334.33</v>
      </c>
      <c r="H751" s="27"/>
      <c r="I751" s="28"/>
      <c r="J751" s="29"/>
      <c r="K751" s="25" t="s">
        <v>29</v>
      </c>
      <c r="L751" s="25" t="s">
        <v>30</v>
      </c>
      <c r="M751" s="25" t="s">
        <v>55</v>
      </c>
      <c r="N751" s="25"/>
      <c r="O751" t="s">
        <v>56</v>
      </c>
      <c r="P751" s="32">
        <v>-249400</v>
      </c>
      <c r="Q751" s="30">
        <v>446689.69</v>
      </c>
      <c r="R751" s="30">
        <v>1000000</v>
      </c>
      <c r="S751" s="30" t="s">
        <v>63</v>
      </c>
      <c r="T751" t="s">
        <v>33</v>
      </c>
      <c r="U751" s="31">
        <v>0</v>
      </c>
      <c r="V751" t="s">
        <v>42</v>
      </c>
      <c r="Y751" t="e">
        <f>VLOOKUP(A751,[2]!PRGX[[#All],[Proveedor]],1,FALSE)</f>
        <v>#REF!</v>
      </c>
    </row>
    <row r="752" spans="1:25" x14ac:dyDescent="0.25">
      <c r="A752" s="36">
        <v>20365</v>
      </c>
      <c r="B752" s="36" t="s">
        <v>778</v>
      </c>
      <c r="C752" s="37">
        <v>2533</v>
      </c>
      <c r="D752" s="38">
        <v>519205926.89399999</v>
      </c>
      <c r="E752" s="38">
        <v>518883545.48399997</v>
      </c>
      <c r="F752" s="38">
        <v>322381.40999999997</v>
      </c>
      <c r="G752" s="38">
        <f>VLOOKUP(A752,'[1]saldos al 26May26'!$C$2:$I$1010,7,FALSE)</f>
        <v>5672.69</v>
      </c>
      <c r="H752" s="39" t="s">
        <v>54</v>
      </c>
      <c r="I752" s="40"/>
      <c r="J752" s="41"/>
      <c r="K752" s="36" t="s">
        <v>29</v>
      </c>
      <c r="L752" s="36" t="s">
        <v>30</v>
      </c>
      <c r="M752" s="36" t="s">
        <v>55</v>
      </c>
      <c r="N752" s="25"/>
      <c r="O752" s="42" t="s">
        <v>56</v>
      </c>
      <c r="P752" s="30">
        <v>2507851.1500000004</v>
      </c>
      <c r="Q752" s="30">
        <v>10823223.460000001</v>
      </c>
      <c r="R752" s="30"/>
      <c r="S752" s="30" t="s">
        <v>33</v>
      </c>
      <c r="T752" t="s">
        <v>33</v>
      </c>
      <c r="U752" s="31" t="e">
        <v>#N/A</v>
      </c>
      <c r="V752" t="s">
        <v>34</v>
      </c>
      <c r="Y752" t="e">
        <f>VLOOKUP(A752,[2]!PRGX[[#All],[Proveedor]],1,FALSE)</f>
        <v>#REF!</v>
      </c>
    </row>
    <row r="753" spans="1:25" x14ac:dyDescent="0.25">
      <c r="A753" s="25">
        <v>90258</v>
      </c>
      <c r="B753" s="25" t="s">
        <v>779</v>
      </c>
      <c r="C753" s="26">
        <v>1614</v>
      </c>
      <c r="D753" s="27">
        <v>79411396.641499996</v>
      </c>
      <c r="E753" s="27">
        <v>65184402.386299998</v>
      </c>
      <c r="F753" s="27">
        <v>14226994.2552</v>
      </c>
      <c r="G753" s="27">
        <f>VLOOKUP(A753,'[1]saldos al 26May26'!$C$2:$I$1010,7,FALSE)</f>
        <v>-3143224.66</v>
      </c>
      <c r="H753" s="27"/>
      <c r="I753" s="28"/>
      <c r="J753" s="29"/>
      <c r="K753" s="25" t="s">
        <v>29</v>
      </c>
      <c r="L753" s="25" t="s">
        <v>30</v>
      </c>
      <c r="M753" s="25" t="s">
        <v>31</v>
      </c>
      <c r="N753" s="25"/>
      <c r="O753" t="s">
        <v>67</v>
      </c>
      <c r="P753" s="32">
        <v>-118108.11</v>
      </c>
      <c r="Q753" s="30">
        <v>0</v>
      </c>
      <c r="R753" s="30">
        <v>7631.09</v>
      </c>
      <c r="S753" s="30" t="s">
        <v>63</v>
      </c>
      <c r="T753" t="s">
        <v>33</v>
      </c>
      <c r="U753" s="31">
        <v>0</v>
      </c>
      <c r="V753" t="s">
        <v>42</v>
      </c>
      <c r="Y753" t="e">
        <f>VLOOKUP(A753,[2]!PRGX[[#All],[Proveedor]],1,FALSE)</f>
        <v>#REF!</v>
      </c>
    </row>
    <row r="754" spans="1:25" x14ac:dyDescent="0.25">
      <c r="A754" s="25">
        <v>24757</v>
      </c>
      <c r="B754" s="25" t="s">
        <v>780</v>
      </c>
      <c r="C754" s="26">
        <v>4809</v>
      </c>
      <c r="D754" s="27">
        <v>79249328.282399997</v>
      </c>
      <c r="E754" s="27">
        <v>16813335.599999994</v>
      </c>
      <c r="F754" s="27">
        <v>62435992.682400003</v>
      </c>
      <c r="G754" s="27">
        <f>VLOOKUP(A754,'[1]saldos al 26May26'!$C$2:$I$1010,7,FALSE)</f>
        <v>-8473611.9700000007</v>
      </c>
      <c r="H754" s="27"/>
      <c r="I754" s="28"/>
      <c r="J754" s="29">
        <v>94115.397564886982</v>
      </c>
      <c r="K754" s="25" t="s">
        <v>40</v>
      </c>
      <c r="L754" s="25" t="s">
        <v>30</v>
      </c>
      <c r="M754" s="25" t="s">
        <v>50</v>
      </c>
      <c r="N754" s="25" t="s">
        <v>38</v>
      </c>
      <c r="O754" t="s">
        <v>38</v>
      </c>
      <c r="P754" s="30">
        <v>0</v>
      </c>
      <c r="Q754" s="30">
        <v>0</v>
      </c>
      <c r="R754" s="30"/>
      <c r="S754" s="30" t="s">
        <v>63</v>
      </c>
      <c r="T754" s="57" t="s">
        <v>33</v>
      </c>
      <c r="U754" s="31" t="s">
        <v>33</v>
      </c>
      <c r="V754" t="s">
        <v>33</v>
      </c>
      <c r="Y754" t="e">
        <f>VLOOKUP(A754,[2]!PRGX[[#All],[Proveedor]],1,FALSE)</f>
        <v>#REF!</v>
      </c>
    </row>
    <row r="755" spans="1:25" x14ac:dyDescent="0.25">
      <c r="A755" s="52">
        <v>11601</v>
      </c>
      <c r="B755" s="52" t="s">
        <v>781</v>
      </c>
      <c r="C755" s="53">
        <v>15796</v>
      </c>
      <c r="D755" s="54">
        <v>79032733.209999993</v>
      </c>
      <c r="E755" s="27">
        <v>67719558.939999998</v>
      </c>
      <c r="F755" s="27">
        <v>11313174.27</v>
      </c>
      <c r="G755" s="54">
        <f>VLOOKUP(A755,'[1]saldos al 26May26'!$C$2:$I$1010,7,FALSE)</f>
        <v>-4868158.51</v>
      </c>
      <c r="H755" s="54"/>
      <c r="I755" s="55"/>
      <c r="J755" s="56">
        <v>40313.100055445</v>
      </c>
      <c r="K755" s="52" t="s">
        <v>40</v>
      </c>
      <c r="L755" s="52" t="s">
        <v>30</v>
      </c>
      <c r="M755" s="52" t="s">
        <v>55</v>
      </c>
      <c r="N755" s="52" t="s">
        <v>80</v>
      </c>
      <c r="O755" s="57" t="s">
        <v>80</v>
      </c>
      <c r="P755" s="59">
        <v>-187595.16</v>
      </c>
      <c r="Q755" s="58">
        <v>747927.83</v>
      </c>
      <c r="R755" s="30"/>
      <c r="S755" s="30" t="s">
        <v>63</v>
      </c>
      <c r="T755" s="57" t="s">
        <v>33</v>
      </c>
      <c r="U755" s="31" t="s">
        <v>33</v>
      </c>
      <c r="V755" t="s">
        <v>33</v>
      </c>
      <c r="Y755" t="e">
        <f>VLOOKUP(A755,[2]!PRGX[[#All],[Proveedor]],1,FALSE)</f>
        <v>#REF!</v>
      </c>
    </row>
    <row r="756" spans="1:25" x14ac:dyDescent="0.25">
      <c r="A756" s="25">
        <v>18500</v>
      </c>
      <c r="B756" s="25" t="s">
        <v>782</v>
      </c>
      <c r="C756" s="26">
        <v>51543</v>
      </c>
      <c r="D756" s="27">
        <v>77898113.824000001</v>
      </c>
      <c r="E756" s="27">
        <v>60867929.223999999</v>
      </c>
      <c r="F756" s="27">
        <v>17030184.600000001</v>
      </c>
      <c r="G756" s="27">
        <f>VLOOKUP(A756,'[1]saldos al 26May26'!$C$2:$I$1010,7,FALSE)</f>
        <v>-1787058.78</v>
      </c>
      <c r="H756" s="27"/>
      <c r="I756" s="28"/>
      <c r="J756" s="29">
        <v>175966.126211964</v>
      </c>
      <c r="K756" s="25" t="s">
        <v>40</v>
      </c>
      <c r="L756" s="25" t="s">
        <v>30</v>
      </c>
      <c r="M756" s="25" t="s">
        <v>31</v>
      </c>
      <c r="N756" s="25" t="s">
        <v>38</v>
      </c>
      <c r="O756" t="s">
        <v>38</v>
      </c>
      <c r="P756" s="32">
        <v>-524448.14</v>
      </c>
      <c r="Q756" s="30">
        <v>3503.8</v>
      </c>
      <c r="R756" s="30"/>
      <c r="S756" s="30" t="s">
        <v>63</v>
      </c>
      <c r="T756" s="57" t="s">
        <v>33</v>
      </c>
      <c r="U756" s="31" t="s">
        <v>33</v>
      </c>
      <c r="V756" t="s">
        <v>33</v>
      </c>
      <c r="Y756" t="e">
        <f>VLOOKUP(A756,[2]!PRGX[[#All],[Proveedor]],1,FALSE)</f>
        <v>#REF!</v>
      </c>
    </row>
    <row r="757" spans="1:25" x14ac:dyDescent="0.25">
      <c r="A757" s="25">
        <v>25132</v>
      </c>
      <c r="B757" s="25" t="s">
        <v>783</v>
      </c>
      <c r="C757" s="26">
        <v>3722</v>
      </c>
      <c r="D757" s="27">
        <v>76524585.569999993</v>
      </c>
      <c r="E757" s="27">
        <v>20256702.209999993</v>
      </c>
      <c r="F757" s="27">
        <v>56267883.359999999</v>
      </c>
      <c r="G757" s="27">
        <f>VLOOKUP(A757,'[1]saldos al 26May26'!$C$2:$I$1010,7,FALSE)</f>
        <v>-5663102.4900000002</v>
      </c>
      <c r="H757" s="27"/>
      <c r="I757" s="28"/>
      <c r="J757" s="29"/>
      <c r="K757" s="25" t="s">
        <v>40</v>
      </c>
      <c r="L757" s="25" t="s">
        <v>30</v>
      </c>
      <c r="M757" s="25" t="s">
        <v>55</v>
      </c>
      <c r="N757" s="25" t="s">
        <v>45</v>
      </c>
      <c r="O757" t="s">
        <v>45</v>
      </c>
      <c r="P757" s="32">
        <v>-74340.72</v>
      </c>
      <c r="Q757" s="30">
        <v>0</v>
      </c>
      <c r="R757" s="30"/>
      <c r="S757" s="30" t="e">
        <v>#N/A</v>
      </c>
      <c r="T757" t="s">
        <v>34</v>
      </c>
      <c r="U757" s="31" t="e">
        <v>#N/A</v>
      </c>
      <c r="V757" t="s">
        <v>34</v>
      </c>
      <c r="Y757" t="e">
        <f>VLOOKUP(A757,[2]!PRGX[[#All],[Proveedor]],1,FALSE)</f>
        <v>#REF!</v>
      </c>
    </row>
    <row r="758" spans="1:25" x14ac:dyDescent="0.25">
      <c r="A758" s="25">
        <v>23830</v>
      </c>
      <c r="B758" s="25" t="s">
        <v>784</v>
      </c>
      <c r="C758" s="26">
        <v>20337</v>
      </c>
      <c r="D758" s="27">
        <v>76389602.859999999</v>
      </c>
      <c r="E758" s="27">
        <v>58600218.149999999</v>
      </c>
      <c r="F758" s="27">
        <v>17789384.710000001</v>
      </c>
      <c r="G758" s="27">
        <f>VLOOKUP(A758,'[1]saldos al 26May26'!$C$2:$I$1010,7,FALSE)</f>
        <v>-476504.57</v>
      </c>
      <c r="H758" s="27"/>
      <c r="I758" s="28"/>
      <c r="J758" s="29"/>
      <c r="K758" s="25" t="s">
        <v>29</v>
      </c>
      <c r="L758" s="25" t="s">
        <v>30</v>
      </c>
      <c r="M758" s="25" t="s">
        <v>31</v>
      </c>
      <c r="N758" s="25"/>
      <c r="O758" t="s">
        <v>96</v>
      </c>
      <c r="P758" s="32">
        <v>-389050.18</v>
      </c>
      <c r="Q758" s="30">
        <v>0</v>
      </c>
      <c r="R758" s="30"/>
      <c r="S758" s="30">
        <v>0</v>
      </c>
      <c r="T758" t="s">
        <v>33</v>
      </c>
      <c r="U758" s="31" t="e">
        <v>#N/A</v>
      </c>
      <c r="V758" t="s">
        <v>34</v>
      </c>
      <c r="Y758" t="e">
        <f>VLOOKUP(A758,[2]!PRGX[[#All],[Proveedor]],1,FALSE)</f>
        <v>#REF!</v>
      </c>
    </row>
    <row r="759" spans="1:25" x14ac:dyDescent="0.25">
      <c r="A759" s="25">
        <v>22253</v>
      </c>
      <c r="B759" s="25" t="s">
        <v>785</v>
      </c>
      <c r="C759" s="26">
        <v>19912</v>
      </c>
      <c r="D759" s="27">
        <v>75953943.620000005</v>
      </c>
      <c r="E759" s="27">
        <v>52040605.350000009</v>
      </c>
      <c r="F759" s="27">
        <v>23913338.27</v>
      </c>
      <c r="G759" s="27">
        <f>VLOOKUP(A759,'[1]saldos al 26May26'!$C$2:$I$1010,7,FALSE)</f>
        <v>-1546850.1</v>
      </c>
      <c r="H759" s="27"/>
      <c r="I759" s="28"/>
      <c r="J759" s="29"/>
      <c r="K759" s="25" t="s">
        <v>29</v>
      </c>
      <c r="L759" s="25" t="s">
        <v>30</v>
      </c>
      <c r="M759" s="25" t="s">
        <v>50</v>
      </c>
      <c r="N759" s="25"/>
      <c r="O759" t="s">
        <v>67</v>
      </c>
      <c r="P759" s="32">
        <v>-1495447.77</v>
      </c>
      <c r="Q759" s="30">
        <v>0</v>
      </c>
      <c r="R759" s="30">
        <v>20000</v>
      </c>
      <c r="S759" s="30" t="s">
        <v>63</v>
      </c>
      <c r="T759" t="s">
        <v>33</v>
      </c>
      <c r="U759" s="31" t="e">
        <v>#N/A</v>
      </c>
      <c r="V759" t="s">
        <v>34</v>
      </c>
      <c r="Y759" t="e">
        <f>VLOOKUP(A759,[2]!PRGX[[#All],[Proveedor]],1,FALSE)</f>
        <v>#REF!</v>
      </c>
    </row>
    <row r="760" spans="1:25" x14ac:dyDescent="0.25">
      <c r="A760" s="25">
        <v>22831</v>
      </c>
      <c r="B760" s="25" t="s">
        <v>786</v>
      </c>
      <c r="C760" s="26">
        <v>6532</v>
      </c>
      <c r="D760" s="27">
        <v>75824004.640000001</v>
      </c>
      <c r="E760" s="27">
        <v>69772356.460000008</v>
      </c>
      <c r="F760" s="27">
        <v>6051648.1799999997</v>
      </c>
      <c r="G760" s="27">
        <f>VLOOKUP(A760,'[1]saldos al 26May26'!$C$2:$I$1010,7,FALSE)</f>
        <v>-2082843.59</v>
      </c>
      <c r="H760" s="27"/>
      <c r="I760" s="28"/>
      <c r="J760" s="29">
        <v>328856.81759725802</v>
      </c>
      <c r="K760" s="25" t="s">
        <v>40</v>
      </c>
      <c r="L760" s="25" t="s">
        <v>30</v>
      </c>
      <c r="M760" s="25" t="s">
        <v>31</v>
      </c>
      <c r="N760" s="25" t="s">
        <v>32</v>
      </c>
      <c r="O760" t="s">
        <v>32</v>
      </c>
      <c r="P760" s="32">
        <v>-458190.72</v>
      </c>
      <c r="Q760" s="30">
        <v>0</v>
      </c>
      <c r="R760" s="30"/>
      <c r="S760" s="30" t="e">
        <v>#N/A</v>
      </c>
      <c r="T760" t="s">
        <v>34</v>
      </c>
      <c r="U760" s="31" t="e">
        <v>#N/A</v>
      </c>
      <c r="V760" t="s">
        <v>34</v>
      </c>
      <c r="Y760" t="e">
        <f>VLOOKUP(A760,[2]!PRGX[[#All],[Proveedor]],1,FALSE)</f>
        <v>#REF!</v>
      </c>
    </row>
    <row r="761" spans="1:25" x14ac:dyDescent="0.25">
      <c r="A761" s="25">
        <v>9580</v>
      </c>
      <c r="B761" s="25" t="s">
        <v>787</v>
      </c>
      <c r="C761" s="26">
        <v>7928</v>
      </c>
      <c r="D761" s="27">
        <v>75562651.879999995</v>
      </c>
      <c r="E761" s="27">
        <v>65229385.779999994</v>
      </c>
      <c r="F761" s="27">
        <v>10333266.1</v>
      </c>
      <c r="G761" s="27">
        <f>VLOOKUP(A761,'[1]saldos al 26May26'!$C$2:$I$1010,7,FALSE)</f>
        <v>-1196344.58</v>
      </c>
      <c r="H761" s="27"/>
      <c r="I761" s="28"/>
      <c r="J761" s="29">
        <v>42599.722199854004</v>
      </c>
      <c r="K761" s="25" t="s">
        <v>40</v>
      </c>
      <c r="L761" s="25" t="s">
        <v>30</v>
      </c>
      <c r="M761" s="25" t="s">
        <v>55</v>
      </c>
      <c r="N761" s="25" t="s">
        <v>96</v>
      </c>
      <c r="O761" t="s">
        <v>96</v>
      </c>
      <c r="P761" s="32">
        <v>-351836.23</v>
      </c>
      <c r="Q761" s="30">
        <v>4279.4399999999996</v>
      </c>
      <c r="R761" s="30"/>
      <c r="S761" s="30" t="e">
        <v>#N/A</v>
      </c>
      <c r="T761" t="s">
        <v>34</v>
      </c>
      <c r="U761" s="31">
        <v>0</v>
      </c>
      <c r="V761" t="s">
        <v>42</v>
      </c>
      <c r="Y761" t="e">
        <f>VLOOKUP(A761,[2]!PRGX[[#All],[Proveedor]],1,FALSE)</f>
        <v>#REF!</v>
      </c>
    </row>
    <row r="762" spans="1:25" x14ac:dyDescent="0.25">
      <c r="A762" s="52">
        <v>32961</v>
      </c>
      <c r="B762" s="52" t="s">
        <v>788</v>
      </c>
      <c r="C762" s="53">
        <v>21489</v>
      </c>
      <c r="D762" s="54">
        <v>75182299</v>
      </c>
      <c r="E762" s="27">
        <v>67215070.780000001</v>
      </c>
      <c r="F762" s="27">
        <v>7967228.2199999997</v>
      </c>
      <c r="G762" s="54">
        <f>VLOOKUP(A762,'[1]saldos al 26May26'!$C$2:$I$1010,7,FALSE)</f>
        <v>-2752372.14</v>
      </c>
      <c r="H762" s="54"/>
      <c r="I762" s="55"/>
      <c r="J762" s="56">
        <v>53589.652813590495</v>
      </c>
      <c r="K762" s="52" t="s">
        <v>40</v>
      </c>
      <c r="L762" s="52" t="s">
        <v>30</v>
      </c>
      <c r="M762" s="52" t="s">
        <v>55</v>
      </c>
      <c r="N762" s="52" t="s">
        <v>36</v>
      </c>
      <c r="O762" s="57" t="s">
        <v>36</v>
      </c>
      <c r="P762" s="59">
        <v>-37797.629999999997</v>
      </c>
      <c r="Q762" s="58">
        <v>549959.5</v>
      </c>
      <c r="R762" s="30"/>
      <c r="S762" s="30" t="e">
        <v>#N/A</v>
      </c>
      <c r="T762" s="57" t="s">
        <v>34</v>
      </c>
      <c r="U762" s="31">
        <v>0</v>
      </c>
      <c r="V762" s="57" t="s">
        <v>42</v>
      </c>
      <c r="X762" t="s">
        <v>43</v>
      </c>
      <c r="Y762" t="e">
        <f>VLOOKUP(A762,[2]!PRGX[[#All],[Proveedor]],1,FALSE)</f>
        <v>#REF!</v>
      </c>
    </row>
    <row r="763" spans="1:25" x14ac:dyDescent="0.25">
      <c r="A763" s="25">
        <v>1814</v>
      </c>
      <c r="B763" s="25" t="s">
        <v>789</v>
      </c>
      <c r="C763" s="26">
        <v>42610</v>
      </c>
      <c r="D763" s="27">
        <v>75142607.159999996</v>
      </c>
      <c r="E763" s="27">
        <v>74860486.679999992</v>
      </c>
      <c r="F763" s="27">
        <v>282120.48</v>
      </c>
      <c r="G763" s="27">
        <f>VLOOKUP(A763,'[1]saldos al 26May26'!$C$2:$I$1010,7,FALSE)</f>
        <v>799.52</v>
      </c>
      <c r="H763" s="39" t="s">
        <v>54</v>
      </c>
      <c r="I763" s="28"/>
      <c r="J763" s="29">
        <v>173122.00613365031</v>
      </c>
      <c r="K763" s="25" t="s">
        <v>40</v>
      </c>
      <c r="L763" s="25" t="s">
        <v>30</v>
      </c>
      <c r="M763" s="36" t="s">
        <v>55</v>
      </c>
      <c r="N763" s="25" t="s">
        <v>38</v>
      </c>
      <c r="O763" t="s">
        <v>38</v>
      </c>
      <c r="P763" s="30">
        <v>3788377.7</v>
      </c>
      <c r="Q763" s="30">
        <v>304445.02</v>
      </c>
      <c r="R763" s="30"/>
      <c r="S763" s="30" t="e">
        <v>#N/A</v>
      </c>
      <c r="T763" t="s">
        <v>34</v>
      </c>
      <c r="U763" s="31" t="e">
        <v>#N/A</v>
      </c>
      <c r="V763" t="s">
        <v>34</v>
      </c>
      <c r="Y763" t="e">
        <f>VLOOKUP(A763,[2]!PRGX[[#All],[Proveedor]],1,FALSE)</f>
        <v>#REF!</v>
      </c>
    </row>
    <row r="764" spans="1:25" x14ac:dyDescent="0.25">
      <c r="A764" s="25">
        <v>318600</v>
      </c>
      <c r="B764" s="25" t="s">
        <v>790</v>
      </c>
      <c r="C764" s="26">
        <v>6253</v>
      </c>
      <c r="D764" s="27">
        <v>74652545.859999999</v>
      </c>
      <c r="E764" s="27">
        <v>70502635.540000007</v>
      </c>
      <c r="F764" s="27">
        <v>4149910.32</v>
      </c>
      <c r="G764" s="27">
        <f>VLOOKUP(A764,'[1]saldos al 26May26'!$C$2:$I$1010,7,FALSE)</f>
        <v>-258069.42</v>
      </c>
      <c r="H764" s="27"/>
      <c r="I764" s="28"/>
      <c r="J764" s="29">
        <v>227558.61857177538</v>
      </c>
      <c r="K764" s="25" t="s">
        <v>40</v>
      </c>
      <c r="L764" s="25" t="s">
        <v>30</v>
      </c>
      <c r="M764" s="25" t="s">
        <v>31</v>
      </c>
      <c r="N764" s="25" t="s">
        <v>70</v>
      </c>
      <c r="O764" t="s">
        <v>70</v>
      </c>
      <c r="P764" s="32">
        <v>-428.74</v>
      </c>
      <c r="Q764" s="30">
        <v>0</v>
      </c>
      <c r="R764" s="30"/>
      <c r="S764" s="30" t="s">
        <v>63</v>
      </c>
      <c r="T764" s="57" t="s">
        <v>33</v>
      </c>
      <c r="U764" s="31" t="s">
        <v>33</v>
      </c>
      <c r="V764" t="s">
        <v>33</v>
      </c>
      <c r="Y764" t="e">
        <f>VLOOKUP(A764,[2]!PRGX[[#All],[Proveedor]],1,FALSE)</f>
        <v>#REF!</v>
      </c>
    </row>
    <row r="765" spans="1:25" x14ac:dyDescent="0.25">
      <c r="A765" s="52">
        <v>21986</v>
      </c>
      <c r="B765" s="52" t="s">
        <v>791</v>
      </c>
      <c r="C765" s="53">
        <v>8158</v>
      </c>
      <c r="D765" s="54">
        <v>74245781.650000006</v>
      </c>
      <c r="E765" s="27">
        <v>60086363.170000002</v>
      </c>
      <c r="F765" s="27">
        <v>14159418.48</v>
      </c>
      <c r="G765" s="54">
        <f>VLOOKUP(A765,'[1]saldos al 26May26'!$C$2:$I$1010,7,FALSE)</f>
        <v>-7079392.8700000001</v>
      </c>
      <c r="H765" s="54"/>
      <c r="I765" s="55"/>
      <c r="J765" s="56">
        <v>395019.80588021845</v>
      </c>
      <c r="K765" s="52" t="s">
        <v>40</v>
      </c>
      <c r="L765" s="52" t="s">
        <v>30</v>
      </c>
      <c r="M765" s="52" t="s">
        <v>50</v>
      </c>
      <c r="N765" s="52" t="s">
        <v>47</v>
      </c>
      <c r="O765" s="57" t="s">
        <v>47</v>
      </c>
      <c r="P765" s="58">
        <v>2618402.1300000004</v>
      </c>
      <c r="Q765" s="58">
        <v>18348.88</v>
      </c>
      <c r="R765" s="30">
        <v>17265</v>
      </c>
      <c r="S765" s="30" t="e">
        <v>#N/A</v>
      </c>
      <c r="T765" s="57" t="s">
        <v>34</v>
      </c>
      <c r="U765" s="31">
        <v>0</v>
      </c>
      <c r="V765" s="57" t="s">
        <v>42</v>
      </c>
      <c r="X765" t="s">
        <v>43</v>
      </c>
      <c r="Y765" t="e">
        <f>VLOOKUP(A765,[2]!PRGX[[#All],[Proveedor]],1,FALSE)</f>
        <v>#REF!</v>
      </c>
    </row>
    <row r="766" spans="1:25" x14ac:dyDescent="0.25">
      <c r="A766" s="25">
        <v>390252</v>
      </c>
      <c r="B766" s="25" t="s">
        <v>792</v>
      </c>
      <c r="C766" s="26">
        <v>530</v>
      </c>
      <c r="D766" s="27">
        <v>74128412.629999995</v>
      </c>
      <c r="E766" s="27">
        <v>51847127.429999992</v>
      </c>
      <c r="F766" s="27">
        <v>22281285.199999999</v>
      </c>
      <c r="G766" s="27">
        <f>VLOOKUP(A766,'[1]saldos al 26May26'!$C$2:$I$1010,7,FALSE)</f>
        <v>-4182329.02</v>
      </c>
      <c r="H766" s="27"/>
      <c r="I766" s="28"/>
      <c r="J766" s="29">
        <v>681804.31519622321</v>
      </c>
      <c r="K766" s="25" t="s">
        <v>40</v>
      </c>
      <c r="L766" s="25" t="s">
        <v>30</v>
      </c>
      <c r="M766" s="25" t="s">
        <v>50</v>
      </c>
      <c r="N766" s="25" t="s">
        <v>70</v>
      </c>
      <c r="O766" t="s">
        <v>70</v>
      </c>
      <c r="P766" s="32">
        <v>-73995.87</v>
      </c>
      <c r="Q766" s="30">
        <v>0</v>
      </c>
      <c r="R766" s="30"/>
      <c r="S766" s="30" t="s">
        <v>63</v>
      </c>
      <c r="T766" t="s">
        <v>33</v>
      </c>
      <c r="U766" s="31" t="s">
        <v>33</v>
      </c>
      <c r="V766" t="s">
        <v>33</v>
      </c>
      <c r="Y766" t="e">
        <f>VLOOKUP(A766,[2]!PRGX[[#All],[Proveedor]],1,FALSE)</f>
        <v>#REF!</v>
      </c>
    </row>
    <row r="767" spans="1:25" x14ac:dyDescent="0.25">
      <c r="A767" s="25">
        <v>20257</v>
      </c>
      <c r="B767" s="25" t="s">
        <v>793</v>
      </c>
      <c r="C767" s="26">
        <v>9964</v>
      </c>
      <c r="D767" s="27">
        <v>74060783.75</v>
      </c>
      <c r="E767" s="27">
        <v>53103271.549999997</v>
      </c>
      <c r="F767" s="27">
        <v>20957512.199999999</v>
      </c>
      <c r="G767" s="27">
        <f>VLOOKUP(A767,'[1]saldos al 26May26'!$C$2:$I$1010,7,FALSE)</f>
        <v>-5134845.79</v>
      </c>
      <c r="H767" s="27"/>
      <c r="I767" s="28"/>
      <c r="J767" s="29">
        <v>234165.2049742135</v>
      </c>
      <c r="K767" s="25" t="s">
        <v>40</v>
      </c>
      <c r="L767" s="25" t="s">
        <v>30</v>
      </c>
      <c r="M767" s="25" t="s">
        <v>31</v>
      </c>
      <c r="N767" s="25" t="s">
        <v>96</v>
      </c>
      <c r="O767" t="s">
        <v>96</v>
      </c>
      <c r="P767" s="32">
        <v>-229207.81</v>
      </c>
      <c r="Q767" s="30">
        <v>0</v>
      </c>
      <c r="R767" s="30"/>
      <c r="S767" s="30" t="e">
        <v>#N/A</v>
      </c>
      <c r="T767" t="s">
        <v>34</v>
      </c>
      <c r="U767" s="31">
        <v>0</v>
      </c>
      <c r="V767" t="s">
        <v>42</v>
      </c>
      <c r="Y767" t="e">
        <f>VLOOKUP(A767,[2]!PRGX[[#All],[Proveedor]],1,FALSE)</f>
        <v>#REF!</v>
      </c>
    </row>
    <row r="768" spans="1:25" x14ac:dyDescent="0.25">
      <c r="A768" s="25">
        <v>320192</v>
      </c>
      <c r="B768" s="25" t="s">
        <v>794</v>
      </c>
      <c r="C768" s="26">
        <v>2033</v>
      </c>
      <c r="D768" s="27">
        <v>452247872.2823</v>
      </c>
      <c r="E768" s="27">
        <v>282593084.22229999</v>
      </c>
      <c r="F768" s="27">
        <v>169654788.06</v>
      </c>
      <c r="G768" s="27">
        <f>VLOOKUP(A768,'[1]saldos al 26May26'!$C$2:$I$1010,7,FALSE)</f>
        <v>-7839564.5499999998</v>
      </c>
      <c r="H768" s="27"/>
      <c r="I768" s="28"/>
      <c r="J768" s="29"/>
      <c r="K768" s="25" t="s">
        <v>29</v>
      </c>
      <c r="L768" s="25" t="s">
        <v>30</v>
      </c>
      <c r="M768" s="25" t="s">
        <v>59</v>
      </c>
      <c r="N768" s="25"/>
      <c r="O768" t="s">
        <v>56</v>
      </c>
      <c r="P768" s="32">
        <v>-1508363.1</v>
      </c>
      <c r="Q768" s="30">
        <v>1712115.85</v>
      </c>
      <c r="R768" s="30"/>
      <c r="S768" s="30" t="s">
        <v>33</v>
      </c>
      <c r="T768" t="s">
        <v>33</v>
      </c>
      <c r="U768" s="31" t="e">
        <v>#N/A</v>
      </c>
      <c r="V768" t="s">
        <v>34</v>
      </c>
      <c r="Y768" t="e">
        <f>VLOOKUP(A768,[2]!PRGX[[#All],[Proveedor]],1,FALSE)</f>
        <v>#REF!</v>
      </c>
    </row>
    <row r="769" spans="1:25" x14ac:dyDescent="0.25">
      <c r="A769" s="25">
        <v>54999</v>
      </c>
      <c r="B769" s="25" t="s">
        <v>795</v>
      </c>
      <c r="C769" s="26">
        <v>10401</v>
      </c>
      <c r="D769" s="27">
        <v>73888608.876000002</v>
      </c>
      <c r="E769" s="27">
        <v>60727209.126000002</v>
      </c>
      <c r="F769" s="27">
        <v>13161399.75</v>
      </c>
      <c r="G769" s="27">
        <f>VLOOKUP(A769,'[1]saldos al 26May26'!$C$2:$I$1010,7,FALSE)</f>
        <v>-68520.990000000005</v>
      </c>
      <c r="H769" s="27"/>
      <c r="I769" s="28"/>
      <c r="J769" s="29">
        <v>782840.93669263436</v>
      </c>
      <c r="K769" s="25" t="s">
        <v>40</v>
      </c>
      <c r="L769" s="25" t="s">
        <v>30</v>
      </c>
      <c r="M769" s="25" t="s">
        <v>61</v>
      </c>
      <c r="N769" s="25" t="s">
        <v>80</v>
      </c>
      <c r="O769" t="s">
        <v>80</v>
      </c>
      <c r="P769" s="32">
        <v>-344439.35</v>
      </c>
      <c r="Q769" s="30">
        <v>0</v>
      </c>
      <c r="R769" s="30"/>
      <c r="S769" s="30" t="s">
        <v>63</v>
      </c>
      <c r="T769" t="s">
        <v>33</v>
      </c>
      <c r="U769" s="31">
        <v>0</v>
      </c>
      <c r="V769" t="s">
        <v>42</v>
      </c>
      <c r="Y769" t="e">
        <f>VLOOKUP(A769,[2]!PRGX[[#All],[Proveedor]],1,FALSE)</f>
        <v>#REF!</v>
      </c>
    </row>
    <row r="770" spans="1:25" x14ac:dyDescent="0.25">
      <c r="A770" s="25">
        <v>12186</v>
      </c>
      <c r="B770" s="25" t="s">
        <v>796</v>
      </c>
      <c r="C770" s="26">
        <v>19686</v>
      </c>
      <c r="D770" s="27">
        <v>73501783.709999993</v>
      </c>
      <c r="E770" s="27">
        <v>60303066.029999994</v>
      </c>
      <c r="F770" s="27">
        <v>13198717.68</v>
      </c>
      <c r="G770" s="27">
        <f>VLOOKUP(A770,'[1]saldos al 26May26'!$C$2:$I$1010,7,FALSE)</f>
        <v>-1315259.81</v>
      </c>
      <c r="H770" s="27"/>
      <c r="I770" s="28"/>
      <c r="J770" s="29">
        <v>1687772.4825174361</v>
      </c>
      <c r="K770" s="25" t="s">
        <v>40</v>
      </c>
      <c r="L770" s="25" t="s">
        <v>30</v>
      </c>
      <c r="M770" s="25" t="s">
        <v>61</v>
      </c>
      <c r="N770" s="25" t="s">
        <v>41</v>
      </c>
      <c r="O770" t="s">
        <v>41</v>
      </c>
      <c r="P770" s="32">
        <v>-36770.929999999993</v>
      </c>
      <c r="Q770" s="30">
        <v>0</v>
      </c>
      <c r="R770" s="30">
        <v>367017.59</v>
      </c>
      <c r="S770" s="30" t="s">
        <v>63</v>
      </c>
      <c r="T770" t="s">
        <v>33</v>
      </c>
      <c r="U770" s="31" t="s">
        <v>33</v>
      </c>
      <c r="V770" t="s">
        <v>33</v>
      </c>
      <c r="Y770" t="e">
        <f>VLOOKUP(A770,[2]!PRGX[[#All],[Proveedor]],1,FALSE)</f>
        <v>#REF!</v>
      </c>
    </row>
    <row r="771" spans="1:25" x14ac:dyDescent="0.25">
      <c r="A771" s="52">
        <v>94557</v>
      </c>
      <c r="B771" s="52" t="s">
        <v>797</v>
      </c>
      <c r="C771" s="53">
        <v>459</v>
      </c>
      <c r="D771" s="54">
        <v>73245672.219999999</v>
      </c>
      <c r="E771" s="27">
        <v>64785400.68</v>
      </c>
      <c r="F771" s="27">
        <v>8460271.5399999991</v>
      </c>
      <c r="G771" s="54">
        <f>VLOOKUP(A771,'[1]saldos al 26May26'!$C$2:$I$1010,7,FALSE)</f>
        <v>-2547996.41</v>
      </c>
      <c r="H771" s="54"/>
      <c r="I771" s="55"/>
      <c r="J771" s="56">
        <v>1338297.0617234639</v>
      </c>
      <c r="K771" s="52" t="s">
        <v>40</v>
      </c>
      <c r="L771" s="52" t="s">
        <v>30</v>
      </c>
      <c r="M771" s="52" t="s">
        <v>59</v>
      </c>
      <c r="N771" s="52" t="s">
        <v>45</v>
      </c>
      <c r="O771" s="57" t="s">
        <v>45</v>
      </c>
      <c r="P771" s="58">
        <v>0</v>
      </c>
      <c r="Q771" s="58">
        <v>0</v>
      </c>
      <c r="R771" s="30"/>
      <c r="S771" s="30" t="s">
        <v>63</v>
      </c>
      <c r="T771" s="57" t="s">
        <v>33</v>
      </c>
      <c r="U771" s="31" t="s">
        <v>33</v>
      </c>
      <c r="V771" t="s">
        <v>33</v>
      </c>
      <c r="Y771" t="e">
        <f>VLOOKUP(A771,[2]!PRGX[[#All],[Proveedor]],1,FALSE)</f>
        <v>#REF!</v>
      </c>
    </row>
    <row r="772" spans="1:25" x14ac:dyDescent="0.25">
      <c r="A772" s="25">
        <v>308584</v>
      </c>
      <c r="B772" s="25" t="s">
        <v>798</v>
      </c>
      <c r="C772" s="26">
        <v>9874</v>
      </c>
      <c r="D772" s="27">
        <v>72961163.739999995</v>
      </c>
      <c r="E772" s="27">
        <v>60713645.489999995</v>
      </c>
      <c r="F772" s="27">
        <v>12247518.25</v>
      </c>
      <c r="G772" s="27">
        <f>VLOOKUP(A772,'[1]saldos al 26May26'!$C$2:$I$1010,7,FALSE)</f>
        <v>-3559899.51</v>
      </c>
      <c r="H772" s="27"/>
      <c r="I772" s="28"/>
      <c r="J772" s="29">
        <v>31730.490010016998</v>
      </c>
      <c r="K772" s="25" t="s">
        <v>40</v>
      </c>
      <c r="L772" s="25" t="s">
        <v>30</v>
      </c>
      <c r="M772" s="25" t="s">
        <v>55</v>
      </c>
      <c r="N772" s="25" t="s">
        <v>87</v>
      </c>
      <c r="O772" t="s">
        <v>87</v>
      </c>
      <c r="P772" s="32">
        <v>-110826.81999999999</v>
      </c>
      <c r="Q772" s="30">
        <v>0</v>
      </c>
      <c r="R772" s="30"/>
      <c r="S772" s="30" t="e">
        <v>#N/A</v>
      </c>
      <c r="T772" t="s">
        <v>34</v>
      </c>
      <c r="U772" s="31" t="e">
        <v>#N/A</v>
      </c>
      <c r="V772" t="s">
        <v>34</v>
      </c>
      <c r="Y772" t="e">
        <f>VLOOKUP(A772,[2]!PRGX[[#All],[Proveedor]],1,FALSE)</f>
        <v>#REF!</v>
      </c>
    </row>
    <row r="773" spans="1:25" x14ac:dyDescent="0.25">
      <c r="A773" s="52">
        <v>16068</v>
      </c>
      <c r="B773" s="52" t="s">
        <v>799</v>
      </c>
      <c r="C773" s="53">
        <v>9413</v>
      </c>
      <c r="D773" s="54">
        <v>72392777.140000001</v>
      </c>
      <c r="E773" s="27">
        <v>26465389.68</v>
      </c>
      <c r="F773" s="27">
        <v>45927387.460000001</v>
      </c>
      <c r="G773" s="54">
        <f>VLOOKUP(A773,'[1]saldos al 26May26'!$C$2:$I$1010,7,FALSE)</f>
        <v>-29655285.010000002</v>
      </c>
      <c r="H773" s="54"/>
      <c r="I773" s="55"/>
      <c r="J773" s="56">
        <v>894050.83358723798</v>
      </c>
      <c r="K773" s="52" t="s">
        <v>40</v>
      </c>
      <c r="L773" s="52" t="s">
        <v>30</v>
      </c>
      <c r="M773" s="52" t="s">
        <v>59</v>
      </c>
      <c r="N773" s="52" t="s">
        <v>32</v>
      </c>
      <c r="O773" s="57" t="s">
        <v>32</v>
      </c>
      <c r="P773" s="58">
        <v>0</v>
      </c>
      <c r="Q773" s="58">
        <v>0</v>
      </c>
      <c r="R773" s="30">
        <v>733457.69</v>
      </c>
      <c r="S773" s="30" t="s">
        <v>63</v>
      </c>
      <c r="T773" s="57" t="s">
        <v>33</v>
      </c>
      <c r="U773" s="31" t="s">
        <v>33</v>
      </c>
      <c r="V773" t="s">
        <v>33</v>
      </c>
      <c r="Y773" t="e">
        <f>VLOOKUP(A773,[2]!PRGX[[#All],[Proveedor]],1,FALSE)</f>
        <v>#REF!</v>
      </c>
    </row>
    <row r="774" spans="1:25" x14ac:dyDescent="0.25">
      <c r="A774" s="52">
        <v>15628</v>
      </c>
      <c r="B774" s="52" t="s">
        <v>800</v>
      </c>
      <c r="C774" s="53">
        <v>37836</v>
      </c>
      <c r="D774" s="54">
        <v>72318995.939999998</v>
      </c>
      <c r="E774" s="27">
        <v>62719919.640000001</v>
      </c>
      <c r="F774" s="27">
        <v>9599076.3000000007</v>
      </c>
      <c r="G774" s="54">
        <f>VLOOKUP(A774,'[1]saldos al 26May26'!$C$2:$I$1010,7,FALSE)</f>
        <v>-3253634.74</v>
      </c>
      <c r="H774" s="54"/>
      <c r="I774" s="55"/>
      <c r="J774" s="56">
        <v>276003.352123619</v>
      </c>
      <c r="K774" s="52" t="s">
        <v>40</v>
      </c>
      <c r="L774" s="52" t="s">
        <v>30</v>
      </c>
      <c r="M774" s="52" t="s">
        <v>31</v>
      </c>
      <c r="N774" s="52" t="s">
        <v>80</v>
      </c>
      <c r="O774" s="57" t="s">
        <v>80</v>
      </c>
      <c r="P774" s="59">
        <v>-23192.21</v>
      </c>
      <c r="Q774" s="58">
        <v>0</v>
      </c>
      <c r="R774" s="30">
        <v>10552.25</v>
      </c>
      <c r="S774" s="30" t="e">
        <v>#N/A</v>
      </c>
      <c r="T774" s="57" t="s">
        <v>34</v>
      </c>
      <c r="U774" s="31" t="e">
        <v>#N/A</v>
      </c>
      <c r="V774" s="57" t="s">
        <v>34</v>
      </c>
      <c r="X774" t="s">
        <v>43</v>
      </c>
      <c r="Y774" t="e">
        <f>VLOOKUP(A774,[2]!PRGX[[#All],[Proveedor]],1,FALSE)</f>
        <v>#REF!</v>
      </c>
    </row>
    <row r="775" spans="1:25" x14ac:dyDescent="0.25">
      <c r="A775" s="25">
        <v>9175</v>
      </c>
      <c r="B775" s="25" t="s">
        <v>801</v>
      </c>
      <c r="C775" s="26">
        <v>25715</v>
      </c>
      <c r="D775" s="27">
        <v>72244479.25</v>
      </c>
      <c r="E775" s="27">
        <v>70662572.049999997</v>
      </c>
      <c r="F775" s="27">
        <v>1581907.2</v>
      </c>
      <c r="G775" s="27">
        <f>VLOOKUP(A775,'[1]saldos al 26May26'!$C$2:$I$1010,7,FALSE)</f>
        <v>-347541.98</v>
      </c>
      <c r="H775" s="27"/>
      <c r="I775" s="28"/>
      <c r="J775" s="29"/>
      <c r="K775" s="25" t="s">
        <v>29</v>
      </c>
      <c r="L775" s="25" t="s">
        <v>30</v>
      </c>
      <c r="M775" s="25" t="s">
        <v>31</v>
      </c>
      <c r="N775" s="25"/>
      <c r="O775" t="s">
        <v>41</v>
      </c>
      <c r="P775" s="30">
        <v>0</v>
      </c>
      <c r="Q775" s="30">
        <v>0</v>
      </c>
      <c r="R775" s="30">
        <v>181823.57</v>
      </c>
      <c r="S775" s="30" t="s">
        <v>63</v>
      </c>
      <c r="T775" t="s">
        <v>33</v>
      </c>
      <c r="U775" s="31" t="e">
        <v>#N/A</v>
      </c>
      <c r="V775" t="s">
        <v>34</v>
      </c>
      <c r="Y775" t="e">
        <f>VLOOKUP(A775,[2]!PRGX[[#All],[Proveedor]],1,FALSE)</f>
        <v>#REF!</v>
      </c>
    </row>
    <row r="776" spans="1:25" x14ac:dyDescent="0.25">
      <c r="A776" s="25">
        <v>63677</v>
      </c>
      <c r="B776" s="25" t="s">
        <v>802</v>
      </c>
      <c r="C776" s="26">
        <v>8659</v>
      </c>
      <c r="D776" s="27">
        <v>71720238.159999996</v>
      </c>
      <c r="E776" s="27">
        <v>63950945.049999997</v>
      </c>
      <c r="F776" s="27">
        <v>7769293.1100000003</v>
      </c>
      <c r="G776" s="27">
        <f>VLOOKUP(A776,'[1]saldos al 26May26'!$C$2:$I$1010,7,FALSE)</f>
        <v>-886076.97</v>
      </c>
      <c r="H776" s="27"/>
      <c r="I776" s="28"/>
      <c r="J776" s="29">
        <v>216447.94906513701</v>
      </c>
      <c r="K776" s="25" t="s">
        <v>40</v>
      </c>
      <c r="L776" s="25" t="s">
        <v>30</v>
      </c>
      <c r="M776" s="25" t="s">
        <v>31</v>
      </c>
      <c r="N776" s="25" t="s">
        <v>67</v>
      </c>
      <c r="O776" t="s">
        <v>67</v>
      </c>
      <c r="P776" s="32">
        <v>-16969.05</v>
      </c>
      <c r="Q776" s="30">
        <v>0</v>
      </c>
      <c r="R776" s="30"/>
      <c r="S776" s="30" t="e">
        <v>#N/A</v>
      </c>
      <c r="T776" t="s">
        <v>34</v>
      </c>
      <c r="U776" s="31" t="e">
        <v>#N/A</v>
      </c>
      <c r="V776" t="s">
        <v>34</v>
      </c>
      <c r="Y776" t="e">
        <f>VLOOKUP(A776,[2]!PRGX[[#All],[Proveedor]],1,FALSE)</f>
        <v>#REF!</v>
      </c>
    </row>
    <row r="777" spans="1:25" x14ac:dyDescent="0.25">
      <c r="A777" s="25">
        <v>21889</v>
      </c>
      <c r="B777" s="25" t="s">
        <v>803</v>
      </c>
      <c r="C777" s="26">
        <v>8018</v>
      </c>
      <c r="D777" s="27">
        <v>71613167.030000001</v>
      </c>
      <c r="E777" s="27">
        <v>58333628.130000003</v>
      </c>
      <c r="F777" s="27">
        <v>13279538.9</v>
      </c>
      <c r="G777" s="27">
        <f>VLOOKUP(A777,'[1]saldos al 26May26'!$C$2:$I$1010,7,FALSE)</f>
        <v>-1104311.58</v>
      </c>
      <c r="H777" s="27"/>
      <c r="I777" s="28"/>
      <c r="J777" s="29">
        <v>321670.25320457201</v>
      </c>
      <c r="K777" s="25" t="s">
        <v>40</v>
      </c>
      <c r="L777" s="25" t="s">
        <v>30</v>
      </c>
      <c r="M777" s="25" t="s">
        <v>31</v>
      </c>
      <c r="N777" s="25" t="s">
        <v>38</v>
      </c>
      <c r="O777" t="s">
        <v>38</v>
      </c>
      <c r="P777" s="30">
        <v>1581540.1399999997</v>
      </c>
      <c r="Q777" s="30">
        <v>310030.38</v>
      </c>
      <c r="R777" s="30"/>
      <c r="S777" s="30" t="s">
        <v>63</v>
      </c>
      <c r="T777" s="57" t="s">
        <v>33</v>
      </c>
      <c r="U777" s="31" t="s">
        <v>33</v>
      </c>
      <c r="V777" t="s">
        <v>33</v>
      </c>
      <c r="Y777" t="e">
        <f>VLOOKUP(A777,[2]!PRGX[[#All],[Proveedor]],1,FALSE)</f>
        <v>#REF!</v>
      </c>
    </row>
    <row r="778" spans="1:25" x14ac:dyDescent="0.25">
      <c r="A778" s="25">
        <v>81018</v>
      </c>
      <c r="B778" s="25" t="s">
        <v>804</v>
      </c>
      <c r="C778" s="26">
        <v>44464</v>
      </c>
      <c r="D778" s="27">
        <v>451475606.44679999</v>
      </c>
      <c r="E778" s="27">
        <v>350917844.15279996</v>
      </c>
      <c r="F778" s="27">
        <v>100557762.294</v>
      </c>
      <c r="G778" s="27">
        <f>VLOOKUP(A778,'[1]saldos al 26May26'!$C$2:$I$1010,7,FALSE)</f>
        <v>-4992019.76</v>
      </c>
      <c r="H778" s="27"/>
      <c r="I778" s="28"/>
      <c r="J778" s="29"/>
      <c r="K778" s="25" t="s">
        <v>29</v>
      </c>
      <c r="L778" s="25" t="s">
        <v>30</v>
      </c>
      <c r="M778" s="25" t="s">
        <v>59</v>
      </c>
      <c r="N778" s="25"/>
      <c r="O778" t="s">
        <v>56</v>
      </c>
      <c r="P778" s="30">
        <v>775967.42</v>
      </c>
      <c r="Q778" s="30">
        <v>225054.07999999999</v>
      </c>
      <c r="R778" s="30"/>
      <c r="S778" s="30" t="s">
        <v>63</v>
      </c>
      <c r="T778" t="s">
        <v>33</v>
      </c>
      <c r="U778" s="31" t="e">
        <v>#N/A</v>
      </c>
      <c r="V778" t="s">
        <v>34</v>
      </c>
      <c r="Y778" t="e">
        <f>VLOOKUP(A778,[2]!PRGX[[#All],[Proveedor]],1,FALSE)</f>
        <v>#REF!</v>
      </c>
    </row>
    <row r="779" spans="1:25" x14ac:dyDescent="0.25">
      <c r="A779" s="36">
        <v>853</v>
      </c>
      <c r="B779" s="36" t="s">
        <v>805</v>
      </c>
      <c r="C779" s="37">
        <v>6274</v>
      </c>
      <c r="D779" s="38">
        <v>71280010.969999999</v>
      </c>
      <c r="E779" s="38">
        <v>67547101.849999994</v>
      </c>
      <c r="F779" s="38">
        <v>3732909.12</v>
      </c>
      <c r="G779" s="38" t="e">
        <f>VLOOKUP(A779,'[1]saldos al 26May26'!$C$2:$I$1010,7,FALSE)</f>
        <v>#N/A</v>
      </c>
      <c r="H779" s="39" t="s">
        <v>54</v>
      </c>
      <c r="I779" s="40"/>
      <c r="J779" s="41"/>
      <c r="K779" s="36" t="s">
        <v>29</v>
      </c>
      <c r="L779" s="36" t="s">
        <v>30</v>
      </c>
      <c r="M779" s="36" t="s">
        <v>55</v>
      </c>
      <c r="N779" s="25"/>
      <c r="O779" s="42" t="s">
        <v>41</v>
      </c>
      <c r="P779" s="32">
        <v>-31425.02</v>
      </c>
      <c r="Q779" s="30">
        <v>23425.8</v>
      </c>
      <c r="R779" s="30"/>
      <c r="S779" s="30" t="s">
        <v>63</v>
      </c>
      <c r="T779" t="s">
        <v>33</v>
      </c>
      <c r="U779" s="31" t="e">
        <v>#N/A</v>
      </c>
      <c r="V779" t="s">
        <v>34</v>
      </c>
      <c r="W779" s="42"/>
      <c r="Y779" t="e">
        <f>VLOOKUP(A779,[2]!PRGX[[#All],[Proveedor]],1,FALSE)</f>
        <v>#REF!</v>
      </c>
    </row>
    <row r="780" spans="1:25" x14ac:dyDescent="0.25">
      <c r="A780" s="25">
        <v>11423</v>
      </c>
      <c r="B780" s="25" t="s">
        <v>806</v>
      </c>
      <c r="C780" s="26">
        <v>3514</v>
      </c>
      <c r="D780" s="27">
        <v>70585272.180000007</v>
      </c>
      <c r="E780" s="27">
        <v>48112782.960000008</v>
      </c>
      <c r="F780" s="27">
        <v>22472489.219999999</v>
      </c>
      <c r="G780" s="27">
        <f>VLOOKUP(A780,'[1]saldos al 26May26'!$C$2:$I$1010,7,FALSE)</f>
        <v>-637215.02</v>
      </c>
      <c r="H780" s="27"/>
      <c r="I780" s="28"/>
      <c r="J780" s="29">
        <v>51209.795796625505</v>
      </c>
      <c r="K780" s="25" t="s">
        <v>40</v>
      </c>
      <c r="L780" s="25" t="s">
        <v>30</v>
      </c>
      <c r="M780" s="25" t="s">
        <v>55</v>
      </c>
      <c r="N780" s="25" t="s">
        <v>87</v>
      </c>
      <c r="O780" t="s">
        <v>87</v>
      </c>
      <c r="P780" s="32">
        <v>-223191.99</v>
      </c>
      <c r="Q780" s="30">
        <v>0</v>
      </c>
      <c r="R780" s="30"/>
      <c r="S780" s="30" t="e">
        <v>#N/A</v>
      </c>
      <c r="T780" t="s">
        <v>34</v>
      </c>
      <c r="U780" s="31">
        <v>0</v>
      </c>
      <c r="V780" t="s">
        <v>42</v>
      </c>
      <c r="Y780" t="e">
        <f>VLOOKUP(A780,[2]!PRGX[[#All],[Proveedor]],1,FALSE)</f>
        <v>#REF!</v>
      </c>
    </row>
    <row r="781" spans="1:25" x14ac:dyDescent="0.25">
      <c r="A781" s="25">
        <v>28209</v>
      </c>
      <c r="B781" s="25" t="s">
        <v>807</v>
      </c>
      <c r="C781" s="26">
        <v>8096</v>
      </c>
      <c r="D781" s="27">
        <v>70391133.840000004</v>
      </c>
      <c r="E781" s="27">
        <v>53958548.980000004</v>
      </c>
      <c r="F781" s="27">
        <v>16432584.859999999</v>
      </c>
      <c r="G781" s="27">
        <f>VLOOKUP(A781,'[1]saldos al 26May26'!$C$2:$I$1010,7,FALSE)</f>
        <v>-768236.44</v>
      </c>
      <c r="H781" s="27"/>
      <c r="I781" s="28"/>
      <c r="J781" s="29">
        <v>46825.201920111002</v>
      </c>
      <c r="K781" s="25" t="s">
        <v>40</v>
      </c>
      <c r="L781" s="25" t="s">
        <v>30</v>
      </c>
      <c r="M781" s="25" t="s">
        <v>55</v>
      </c>
      <c r="N781" s="25" t="s">
        <v>32</v>
      </c>
      <c r="O781" t="s">
        <v>32</v>
      </c>
      <c r="P781" s="32">
        <v>-27996.93</v>
      </c>
      <c r="Q781" s="30">
        <v>0</v>
      </c>
      <c r="R781" s="30"/>
      <c r="S781" s="30" t="e">
        <v>#N/A</v>
      </c>
      <c r="T781" t="s">
        <v>34</v>
      </c>
      <c r="U781" s="31" t="e">
        <v>#N/A</v>
      </c>
      <c r="V781" t="s">
        <v>34</v>
      </c>
      <c r="Y781" t="e">
        <f>VLOOKUP(A781,[2]!PRGX[[#All],[Proveedor]],1,FALSE)</f>
        <v>#REF!</v>
      </c>
    </row>
    <row r="782" spans="1:25" x14ac:dyDescent="0.25">
      <c r="A782" s="52">
        <v>226092</v>
      </c>
      <c r="B782" s="52" t="s">
        <v>808</v>
      </c>
      <c r="C782" s="53">
        <v>10673</v>
      </c>
      <c r="D782" s="54">
        <v>69995943.670000002</v>
      </c>
      <c r="E782" s="27">
        <v>64794516.910000004</v>
      </c>
      <c r="F782" s="27">
        <v>5201426.76</v>
      </c>
      <c r="G782" s="54">
        <f>VLOOKUP(A782,'[1]saldos al 26May26'!$C$2:$I$1010,7,FALSE)</f>
        <v>-2425657.0699999998</v>
      </c>
      <c r="H782" s="54"/>
      <c r="I782" s="55"/>
      <c r="J782" s="56">
        <v>362385.08602619503</v>
      </c>
      <c r="K782" s="52" t="s">
        <v>40</v>
      </c>
      <c r="L782" s="52" t="s">
        <v>30</v>
      </c>
      <c r="M782" s="52" t="s">
        <v>31</v>
      </c>
      <c r="N782" s="52" t="s">
        <v>96</v>
      </c>
      <c r="O782" s="57" t="s">
        <v>96</v>
      </c>
      <c r="P782" s="59">
        <v>-147937.26999999999</v>
      </c>
      <c r="Q782" s="58">
        <v>6123.8</v>
      </c>
      <c r="R782" s="30">
        <v>776361</v>
      </c>
      <c r="S782" s="30" t="e">
        <v>#N/A</v>
      </c>
      <c r="T782" s="57" t="s">
        <v>34</v>
      </c>
      <c r="U782" s="31">
        <v>0</v>
      </c>
      <c r="V782" s="57" t="s">
        <v>42</v>
      </c>
      <c r="X782" t="s">
        <v>43</v>
      </c>
      <c r="Y782" t="e">
        <f>VLOOKUP(A782,[2]!PRGX[[#All],[Proveedor]],1,FALSE)</f>
        <v>#REF!</v>
      </c>
    </row>
    <row r="783" spans="1:25" x14ac:dyDescent="0.25">
      <c r="A783" s="52">
        <v>327429</v>
      </c>
      <c r="B783" s="52" t="s">
        <v>809</v>
      </c>
      <c r="C783" s="53">
        <v>2278</v>
      </c>
      <c r="D783" s="54">
        <v>69892055</v>
      </c>
      <c r="E783" s="27">
        <v>67591455</v>
      </c>
      <c r="F783" s="27">
        <v>2300600</v>
      </c>
      <c r="G783" s="54">
        <f>VLOOKUP(A783,'[1]saldos al 26May26'!$C$2:$I$1010,7,FALSE)</f>
        <v>-3538793.99</v>
      </c>
      <c r="H783" s="54"/>
      <c r="I783" s="55"/>
      <c r="J783" s="56">
        <v>177352.34345954499</v>
      </c>
      <c r="K783" s="52" t="s">
        <v>29</v>
      </c>
      <c r="L783" s="52" t="s">
        <v>30</v>
      </c>
      <c r="M783" s="52" t="s">
        <v>31</v>
      </c>
      <c r="N783" s="52" t="s">
        <v>67</v>
      </c>
      <c r="O783" s="57" t="s">
        <v>67</v>
      </c>
      <c r="P783" s="59">
        <v>-383837.04</v>
      </c>
      <c r="Q783" s="58">
        <v>8697884.1600000001</v>
      </c>
      <c r="R783" s="30"/>
      <c r="S783" s="30" t="s">
        <v>63</v>
      </c>
      <c r="T783" s="57" t="s">
        <v>33</v>
      </c>
      <c r="U783" s="31" t="e">
        <v>#N/A</v>
      </c>
      <c r="V783" s="57" t="s">
        <v>34</v>
      </c>
      <c r="Y783" t="e">
        <f>VLOOKUP(A783,[2]!PRGX[[#All],[Proveedor]],1,FALSE)</f>
        <v>#REF!</v>
      </c>
    </row>
    <row r="784" spans="1:25" x14ac:dyDescent="0.25">
      <c r="A784" s="52">
        <v>212464</v>
      </c>
      <c r="B784" s="52" t="s">
        <v>810</v>
      </c>
      <c r="C784" s="53">
        <v>13237</v>
      </c>
      <c r="D784" s="54">
        <v>68890146.890000001</v>
      </c>
      <c r="E784" s="27">
        <v>61150768.909999996</v>
      </c>
      <c r="F784" s="27">
        <v>7739377.9800000004</v>
      </c>
      <c r="G784" s="54">
        <f>VLOOKUP(A784,'[1]saldos al 26May26'!$C$2:$I$1010,7,FALSE)</f>
        <v>-1854283.21</v>
      </c>
      <c r="H784" s="54"/>
      <c r="I784" s="55"/>
      <c r="J784" s="56">
        <v>1811926.6451120661</v>
      </c>
      <c r="K784" s="52" t="s">
        <v>40</v>
      </c>
      <c r="L784" s="52" t="s">
        <v>30</v>
      </c>
      <c r="M784" s="52" t="s">
        <v>59</v>
      </c>
      <c r="N784" s="52" t="s">
        <v>70</v>
      </c>
      <c r="O784" s="57" t="s">
        <v>70</v>
      </c>
      <c r="P784" s="59">
        <v>-109405.61</v>
      </c>
      <c r="Q784" s="58">
        <v>138740.14000000001</v>
      </c>
      <c r="R784" s="30"/>
      <c r="S784" s="30" t="s">
        <v>63</v>
      </c>
      <c r="T784" s="57" t="s">
        <v>33</v>
      </c>
      <c r="U784" s="31" t="s">
        <v>33</v>
      </c>
      <c r="V784" t="s">
        <v>33</v>
      </c>
      <c r="Y784" t="e">
        <f>VLOOKUP(A784,[2]!PRGX[[#All],[Proveedor]],1,FALSE)</f>
        <v>#REF!</v>
      </c>
    </row>
    <row r="785" spans="1:26" x14ac:dyDescent="0.25">
      <c r="A785" s="52">
        <v>381202</v>
      </c>
      <c r="B785" s="52" t="s">
        <v>811</v>
      </c>
      <c r="C785" s="53">
        <v>4538</v>
      </c>
      <c r="D785" s="54">
        <v>67607219.939999998</v>
      </c>
      <c r="E785" s="27">
        <v>49286059.959999993</v>
      </c>
      <c r="F785" s="27">
        <v>18321159.98</v>
      </c>
      <c r="G785" s="54">
        <f>VLOOKUP(A785,'[1]saldos al 26May26'!$C$2:$I$1010,7,FALSE)</f>
        <v>-3068483.39</v>
      </c>
      <c r="H785" s="54"/>
      <c r="I785" s="55"/>
      <c r="J785" s="56">
        <v>418503.85387252201</v>
      </c>
      <c r="K785" s="52" t="s">
        <v>40</v>
      </c>
      <c r="L785" s="52" t="s">
        <v>30</v>
      </c>
      <c r="M785" s="52" t="s">
        <v>50</v>
      </c>
      <c r="N785" s="52" t="s">
        <v>32</v>
      </c>
      <c r="O785" s="57" t="s">
        <v>32</v>
      </c>
      <c r="P785" s="59">
        <v>-5252.04</v>
      </c>
      <c r="Q785" s="58">
        <v>0</v>
      </c>
      <c r="R785" s="30">
        <v>18252.46</v>
      </c>
      <c r="S785" s="30" t="e">
        <v>#N/A</v>
      </c>
      <c r="T785" s="57" t="s">
        <v>34</v>
      </c>
      <c r="U785" s="31" t="e">
        <v>#N/A</v>
      </c>
      <c r="V785" s="57" t="s">
        <v>34</v>
      </c>
      <c r="X785" t="s">
        <v>43</v>
      </c>
      <c r="Y785" t="e">
        <f>VLOOKUP(A785,[2]!PRGX[[#All],[Proveedor]],1,FALSE)</f>
        <v>#REF!</v>
      </c>
    </row>
    <row r="786" spans="1:26" s="42" customFormat="1" x14ac:dyDescent="0.25">
      <c r="A786" s="25">
        <v>324251</v>
      </c>
      <c r="B786" s="25" t="s">
        <v>812</v>
      </c>
      <c r="C786" s="26">
        <v>7614</v>
      </c>
      <c r="D786" s="27">
        <v>67485481.849999994</v>
      </c>
      <c r="E786" s="27">
        <v>64117596.149999991</v>
      </c>
      <c r="F786" s="27">
        <v>3367885.7</v>
      </c>
      <c r="G786" s="27">
        <f>VLOOKUP(A786,'[1]saldos al 26May26'!$C$2:$I$1010,7,FALSE)</f>
        <v>-876418.89</v>
      </c>
      <c r="H786" s="27"/>
      <c r="I786" s="28"/>
      <c r="J786" s="29">
        <v>147604.0591115125</v>
      </c>
      <c r="K786" s="25" t="s">
        <v>40</v>
      </c>
      <c r="L786" s="25" t="s">
        <v>30</v>
      </c>
      <c r="M786" s="25" t="s">
        <v>31</v>
      </c>
      <c r="N786" s="25" t="s">
        <v>96</v>
      </c>
      <c r="O786" t="s">
        <v>96</v>
      </c>
      <c r="P786" s="30">
        <v>7800412.2499999991</v>
      </c>
      <c r="Q786" s="30">
        <v>290.58</v>
      </c>
      <c r="R786" s="30">
        <v>368.62</v>
      </c>
      <c r="S786" s="30" t="e">
        <v>#N/A</v>
      </c>
      <c r="T786" t="s">
        <v>34</v>
      </c>
      <c r="U786" s="31" t="e">
        <v>#N/A</v>
      </c>
      <c r="V786" t="s">
        <v>34</v>
      </c>
      <c r="W786"/>
      <c r="Y786" t="e">
        <f>VLOOKUP(A786,[2]!PRGX[[#All],[Proveedor]],1,FALSE)</f>
        <v>#REF!</v>
      </c>
      <c r="Z786"/>
    </row>
    <row r="787" spans="1:26" x14ac:dyDescent="0.25">
      <c r="A787" s="25">
        <v>49692</v>
      </c>
      <c r="B787" s="25" t="s">
        <v>813</v>
      </c>
      <c r="C787" s="26">
        <v>4369</v>
      </c>
      <c r="D787" s="27">
        <v>66288647.545199998</v>
      </c>
      <c r="E787" s="27">
        <v>44731628.739699997</v>
      </c>
      <c r="F787" s="27">
        <v>21557018.805500001</v>
      </c>
      <c r="G787" s="27">
        <f>VLOOKUP(A787,'[1]saldos al 26May26'!$C$2:$I$1010,7,FALSE)</f>
        <v>-3887176.83</v>
      </c>
      <c r="H787" s="27"/>
      <c r="I787" s="28"/>
      <c r="J787" s="29">
        <v>215637.03750000003</v>
      </c>
      <c r="K787" s="25" t="s">
        <v>40</v>
      </c>
      <c r="L787" s="25" t="s">
        <v>30</v>
      </c>
      <c r="M787" s="25" t="s">
        <v>31</v>
      </c>
      <c r="N787" s="25" t="s">
        <v>38</v>
      </c>
      <c r="O787" t="s">
        <v>38</v>
      </c>
      <c r="P787" s="32">
        <v>-5739.1700000000019</v>
      </c>
      <c r="Q787" s="30">
        <v>0</v>
      </c>
      <c r="R787" s="30"/>
      <c r="S787" s="30" t="s">
        <v>63</v>
      </c>
      <c r="T787" s="57" t="s">
        <v>33</v>
      </c>
      <c r="U787" s="31" t="s">
        <v>33</v>
      </c>
      <c r="V787" t="s">
        <v>33</v>
      </c>
      <c r="Y787" t="e">
        <f>VLOOKUP(A787,[2]!PRGX[[#All],[Proveedor]],1,FALSE)</f>
        <v>#REF!</v>
      </c>
    </row>
    <row r="788" spans="1:26" x14ac:dyDescent="0.25">
      <c r="A788" s="52">
        <v>40279</v>
      </c>
      <c r="B788" s="52" t="s">
        <v>814</v>
      </c>
      <c r="C788" s="53">
        <v>7890</v>
      </c>
      <c r="D788" s="54">
        <v>66251892.727799997</v>
      </c>
      <c r="E788" s="27">
        <v>50820811.287799999</v>
      </c>
      <c r="F788" s="27">
        <v>15431081.439999999</v>
      </c>
      <c r="G788" s="54">
        <f>VLOOKUP(A788,'[1]saldos al 26May26'!$C$2:$I$1010,7,FALSE)</f>
        <v>-3891238.3</v>
      </c>
      <c r="H788" s="54"/>
      <c r="I788" s="55"/>
      <c r="J788" s="56">
        <v>847652.47764445655</v>
      </c>
      <c r="K788" s="52" t="s">
        <v>40</v>
      </c>
      <c r="L788" s="52" t="s">
        <v>30</v>
      </c>
      <c r="M788" s="52" t="s">
        <v>50</v>
      </c>
      <c r="N788" s="52" t="s">
        <v>96</v>
      </c>
      <c r="O788" s="57" t="s">
        <v>96</v>
      </c>
      <c r="P788" s="59">
        <v>-183300.93</v>
      </c>
      <c r="Q788" s="58">
        <v>267762.27</v>
      </c>
      <c r="R788" s="30"/>
      <c r="S788" s="30" t="e">
        <v>#N/A</v>
      </c>
      <c r="T788" s="57" t="s">
        <v>34</v>
      </c>
      <c r="U788" s="31" t="e">
        <v>#N/A</v>
      </c>
      <c r="V788" s="57" t="s">
        <v>34</v>
      </c>
      <c r="X788" t="s">
        <v>43</v>
      </c>
      <c r="Y788" t="e">
        <f>VLOOKUP(A788,[2]!PRGX[[#All],[Proveedor]],1,FALSE)</f>
        <v>#REF!</v>
      </c>
    </row>
    <row r="789" spans="1:26" x14ac:dyDescent="0.25">
      <c r="A789" s="52">
        <v>16433</v>
      </c>
      <c r="B789" s="52" t="s">
        <v>815</v>
      </c>
      <c r="C789" s="53">
        <v>13717</v>
      </c>
      <c r="D789" s="54">
        <v>66243281.990000002</v>
      </c>
      <c r="E789" s="27">
        <v>52106966.57</v>
      </c>
      <c r="F789" s="27">
        <v>14136315.42</v>
      </c>
      <c r="G789" s="54">
        <f>VLOOKUP(A789,'[1]saldos al 26May26'!$C$2:$I$1010,7,FALSE)</f>
        <v>-2665183.5499999998</v>
      </c>
      <c r="H789" s="54"/>
      <c r="I789" s="55"/>
      <c r="J789" s="56">
        <v>375750.38319679094</v>
      </c>
      <c r="K789" s="52" t="s">
        <v>40</v>
      </c>
      <c r="L789" s="52" t="s">
        <v>30</v>
      </c>
      <c r="M789" s="52" t="s">
        <v>50</v>
      </c>
      <c r="N789" s="52" t="s">
        <v>80</v>
      </c>
      <c r="O789" s="57" t="s">
        <v>80</v>
      </c>
      <c r="P789" s="59">
        <v>-160439.13</v>
      </c>
      <c r="Q789" s="58">
        <v>396440.01</v>
      </c>
      <c r="R789" s="30">
        <v>212969.32</v>
      </c>
      <c r="S789" s="30" t="e">
        <v>#N/A</v>
      </c>
      <c r="T789" s="57" t="s">
        <v>34</v>
      </c>
      <c r="U789" s="31">
        <v>0</v>
      </c>
      <c r="V789" s="57" t="s">
        <v>42</v>
      </c>
      <c r="X789" t="s">
        <v>43</v>
      </c>
      <c r="Y789" t="e">
        <f>VLOOKUP(A789,[2]!PRGX[[#All],[Proveedor]],1,FALSE)</f>
        <v>#REF!</v>
      </c>
    </row>
    <row r="790" spans="1:26" x14ac:dyDescent="0.25">
      <c r="A790" s="25">
        <v>20828</v>
      </c>
      <c r="B790" s="25" t="s">
        <v>816</v>
      </c>
      <c r="C790" s="26">
        <v>12651</v>
      </c>
      <c r="D790" s="27">
        <v>65927006</v>
      </c>
      <c r="E790" s="27">
        <v>60527525.399999999</v>
      </c>
      <c r="F790" s="27">
        <v>5399480.5999999996</v>
      </c>
      <c r="G790" s="27">
        <f>VLOOKUP(A790,'[1]saldos al 26May26'!$C$2:$I$1010,7,FALSE)</f>
        <v>-1249693.6599999999</v>
      </c>
      <c r="H790" s="27"/>
      <c r="I790" s="28"/>
      <c r="J790" s="29">
        <v>178183.35111828501</v>
      </c>
      <c r="K790" s="25" t="s">
        <v>40</v>
      </c>
      <c r="L790" s="25" t="s">
        <v>30</v>
      </c>
      <c r="M790" s="25" t="s">
        <v>31</v>
      </c>
      <c r="N790" s="25" t="s">
        <v>67</v>
      </c>
      <c r="O790" t="s">
        <v>67</v>
      </c>
      <c r="P790" s="32">
        <v>-84003.68</v>
      </c>
      <c r="Q790" s="30">
        <v>0</v>
      </c>
      <c r="R790" s="30"/>
      <c r="S790" s="30" t="e">
        <v>#N/A</v>
      </c>
      <c r="T790" t="s">
        <v>34</v>
      </c>
      <c r="U790" s="31" t="e">
        <v>#N/A</v>
      </c>
      <c r="V790" t="s">
        <v>34</v>
      </c>
      <c r="Y790" t="e">
        <f>VLOOKUP(A790,[2]!PRGX[[#All],[Proveedor]],1,FALSE)</f>
        <v>#REF!</v>
      </c>
    </row>
    <row r="791" spans="1:26" x14ac:dyDescent="0.25">
      <c r="A791" s="25">
        <v>312082</v>
      </c>
      <c r="B791" s="25" t="s">
        <v>817</v>
      </c>
      <c r="C791" s="26">
        <v>47146</v>
      </c>
      <c r="D791" s="27">
        <v>65836827.049999997</v>
      </c>
      <c r="E791" s="27">
        <v>54169722.859999999</v>
      </c>
      <c r="F791" s="27">
        <v>11667104.189999999</v>
      </c>
      <c r="G791" s="27">
        <f>VLOOKUP(A791,'[1]saldos al 26May26'!$C$2:$I$1010,7,FALSE)</f>
        <v>-666211.68999999994</v>
      </c>
      <c r="H791" s="27"/>
      <c r="I791" s="28"/>
      <c r="J791" s="29">
        <v>40095.581595206</v>
      </c>
      <c r="K791" s="25" t="s">
        <v>40</v>
      </c>
      <c r="L791" s="25" t="s">
        <v>30</v>
      </c>
      <c r="M791" s="25" t="s">
        <v>55</v>
      </c>
      <c r="N791" s="25" t="s">
        <v>70</v>
      </c>
      <c r="O791" t="s">
        <v>70</v>
      </c>
      <c r="P791" s="32">
        <v>-193824.08</v>
      </c>
      <c r="Q791" s="30">
        <v>0</v>
      </c>
      <c r="R791" s="30">
        <v>38219.03</v>
      </c>
      <c r="S791" s="30" t="e">
        <v>#N/A</v>
      </c>
      <c r="T791" t="s">
        <v>34</v>
      </c>
      <c r="U791" s="31">
        <v>0</v>
      </c>
      <c r="V791" t="s">
        <v>42</v>
      </c>
      <c r="Y791" t="e">
        <f>VLOOKUP(A791,[2]!PRGX[[#All],[Proveedor]],1,FALSE)</f>
        <v>#REF!</v>
      </c>
    </row>
    <row r="792" spans="1:26" x14ac:dyDescent="0.25">
      <c r="A792" s="25">
        <v>304196</v>
      </c>
      <c r="B792" s="25" t="s">
        <v>818</v>
      </c>
      <c r="C792" s="26">
        <v>25394</v>
      </c>
      <c r="D792" s="27">
        <v>65721260.899999999</v>
      </c>
      <c r="E792" s="27">
        <v>51956305.989999995</v>
      </c>
      <c r="F792" s="27">
        <v>13764954.91</v>
      </c>
      <c r="G792" s="27">
        <f>VLOOKUP(A792,'[1]saldos al 26May26'!$C$2:$I$1010,7,FALSE)</f>
        <v>-2068369.75</v>
      </c>
      <c r="H792" s="27"/>
      <c r="I792" s="28"/>
      <c r="J792" s="29">
        <v>30545.904684675996</v>
      </c>
      <c r="K792" s="25" t="s">
        <v>40</v>
      </c>
      <c r="L792" s="25" t="s">
        <v>30</v>
      </c>
      <c r="M792" s="25" t="s">
        <v>50</v>
      </c>
      <c r="N792" s="25" t="s">
        <v>47</v>
      </c>
      <c r="O792" t="s">
        <v>47</v>
      </c>
      <c r="P792" s="32">
        <v>-55101.509999999995</v>
      </c>
      <c r="Q792" s="30">
        <v>-27004.87</v>
      </c>
      <c r="R792" s="30"/>
      <c r="S792" s="30" t="e">
        <v>#N/A</v>
      </c>
      <c r="T792" t="s">
        <v>34</v>
      </c>
      <c r="U792" s="31" t="e">
        <v>#N/A</v>
      </c>
      <c r="V792" t="s">
        <v>34</v>
      </c>
      <c r="Y792" t="e">
        <f>VLOOKUP(A792,[2]!PRGX[[#All],[Proveedor]],1,FALSE)</f>
        <v>#REF!</v>
      </c>
    </row>
    <row r="793" spans="1:26" x14ac:dyDescent="0.25">
      <c r="A793" s="52">
        <v>23489</v>
      </c>
      <c r="B793" s="52" t="s">
        <v>819</v>
      </c>
      <c r="C793" s="53">
        <v>7976</v>
      </c>
      <c r="D793" s="54">
        <v>65493374.82</v>
      </c>
      <c r="E793" s="27">
        <v>44613255.299999997</v>
      </c>
      <c r="F793" s="27">
        <v>20880119.52</v>
      </c>
      <c r="G793" s="54">
        <f>VLOOKUP(A793,'[1]saldos al 26May26'!$C$2:$I$1010,7,FALSE)</f>
        <v>-2050288.83</v>
      </c>
      <c r="H793" s="54"/>
      <c r="I793" s="55"/>
      <c r="J793" s="56">
        <v>2197596.8753906777</v>
      </c>
      <c r="K793" s="52" t="s">
        <v>40</v>
      </c>
      <c r="L793" s="52" t="s">
        <v>30</v>
      </c>
      <c r="M793" s="52" t="s">
        <v>59</v>
      </c>
      <c r="N793" s="52" t="s">
        <v>51</v>
      </c>
      <c r="O793" s="57" t="s">
        <v>51</v>
      </c>
      <c r="P793" s="59">
        <v>-102290.88</v>
      </c>
      <c r="Q793" s="58">
        <v>0</v>
      </c>
      <c r="R793" s="30"/>
      <c r="S793" s="30" t="s">
        <v>63</v>
      </c>
      <c r="T793" s="57" t="s">
        <v>33</v>
      </c>
      <c r="U793" s="31" t="s">
        <v>33</v>
      </c>
      <c r="V793" t="s">
        <v>33</v>
      </c>
      <c r="Y793" t="e">
        <f>VLOOKUP(A793,[2]!PRGX[[#All],[Proveedor]],1,FALSE)</f>
        <v>#REF!</v>
      </c>
    </row>
    <row r="794" spans="1:26" s="42" customFormat="1" x14ac:dyDescent="0.25">
      <c r="A794" s="25">
        <v>378562</v>
      </c>
      <c r="B794" s="25" t="s">
        <v>820</v>
      </c>
      <c r="C794" s="26">
        <v>813</v>
      </c>
      <c r="D794" s="27">
        <v>64760279.840000004</v>
      </c>
      <c r="E794" s="27">
        <v>57455231.830000006</v>
      </c>
      <c r="F794" s="27">
        <v>7305048.0099999998</v>
      </c>
      <c r="G794" s="27">
        <f>VLOOKUP(A794,'[1]saldos al 26May26'!$C$2:$I$1010,7,FALSE)</f>
        <v>0</v>
      </c>
      <c r="H794" s="39" t="s">
        <v>54</v>
      </c>
      <c r="I794" s="28"/>
      <c r="J794" s="29">
        <v>183318.38281863689</v>
      </c>
      <c r="K794" s="25" t="s">
        <v>40</v>
      </c>
      <c r="L794" s="25" t="s">
        <v>30</v>
      </c>
      <c r="M794" s="36" t="s">
        <v>55</v>
      </c>
      <c r="N794" s="25" t="s">
        <v>80</v>
      </c>
      <c r="O794" t="s">
        <v>80</v>
      </c>
      <c r="P794" s="32">
        <v>-214718.80000000002</v>
      </c>
      <c r="Q794" s="30">
        <v>0</v>
      </c>
      <c r="R794" s="30">
        <v>250000</v>
      </c>
      <c r="S794" s="30" t="e">
        <v>#N/A</v>
      </c>
      <c r="T794" t="s">
        <v>34</v>
      </c>
      <c r="U794" s="31" t="e">
        <v>#N/A</v>
      </c>
      <c r="V794" t="s">
        <v>34</v>
      </c>
      <c r="W794"/>
      <c r="Y794" t="e">
        <f>VLOOKUP(A794,[2]!PRGX[[#All],[Proveedor]],1,FALSE)</f>
        <v>#REF!</v>
      </c>
      <c r="Z794"/>
    </row>
    <row r="795" spans="1:26" x14ac:dyDescent="0.25">
      <c r="A795" s="52">
        <v>342584</v>
      </c>
      <c r="B795" s="52" t="s">
        <v>821</v>
      </c>
      <c r="C795" s="53">
        <v>6652</v>
      </c>
      <c r="D795" s="54">
        <v>64710605.359999999</v>
      </c>
      <c r="E795" s="27">
        <v>48015785.039999999</v>
      </c>
      <c r="F795" s="27">
        <v>16694820.32</v>
      </c>
      <c r="G795" s="54">
        <f>VLOOKUP(A795,'[1]saldos al 26May26'!$C$2:$I$1010,7,FALSE)</f>
        <v>-1726815.99</v>
      </c>
      <c r="H795" s="54"/>
      <c r="I795" s="55"/>
      <c r="J795" s="56">
        <v>54107.63894612799</v>
      </c>
      <c r="K795" s="52" t="s">
        <v>40</v>
      </c>
      <c r="L795" s="52" t="s">
        <v>30</v>
      </c>
      <c r="M795" s="52" t="s">
        <v>59</v>
      </c>
      <c r="N795" s="52" t="s">
        <v>96</v>
      </c>
      <c r="O795" s="57" t="s">
        <v>96</v>
      </c>
      <c r="P795" s="59">
        <v>-235165.33</v>
      </c>
      <c r="Q795" s="58">
        <v>694125.78</v>
      </c>
      <c r="R795" s="30"/>
      <c r="S795" s="30" t="e">
        <v>#N/A</v>
      </c>
      <c r="T795" s="57" t="s">
        <v>34</v>
      </c>
      <c r="U795" s="31">
        <v>0</v>
      </c>
      <c r="V795" s="57" t="s">
        <v>42</v>
      </c>
      <c r="X795" t="s">
        <v>43</v>
      </c>
      <c r="Y795" t="e">
        <f>VLOOKUP(A795,[2]!PRGX[[#All],[Proveedor]],1,FALSE)</f>
        <v>#REF!</v>
      </c>
    </row>
    <row r="796" spans="1:26" x14ac:dyDescent="0.25">
      <c r="A796" s="25">
        <v>312546</v>
      </c>
      <c r="B796" s="25" t="s">
        <v>822</v>
      </c>
      <c r="C796" s="26">
        <v>6265</v>
      </c>
      <c r="D796" s="27">
        <v>64672800.450000003</v>
      </c>
      <c r="E796" s="27">
        <v>45487991.350000001</v>
      </c>
      <c r="F796" s="27">
        <v>19184809.100000001</v>
      </c>
      <c r="G796" s="27">
        <f>VLOOKUP(A796,'[1]saldos al 26May26'!$C$2:$I$1010,7,FALSE)</f>
        <v>22623.82</v>
      </c>
      <c r="H796" s="39" t="s">
        <v>54</v>
      </c>
      <c r="I796" s="28"/>
      <c r="J796" s="29"/>
      <c r="K796" s="25" t="s">
        <v>29</v>
      </c>
      <c r="L796" s="25" t="s">
        <v>30</v>
      </c>
      <c r="M796" s="36" t="s">
        <v>55</v>
      </c>
      <c r="N796" s="25"/>
      <c r="O796" t="s">
        <v>87</v>
      </c>
      <c r="P796" s="30">
        <v>134995</v>
      </c>
      <c r="Q796" s="30">
        <v>137295.48000000001</v>
      </c>
      <c r="R796" s="30">
        <v>781128.79999999993</v>
      </c>
      <c r="S796" s="30" t="s">
        <v>63</v>
      </c>
      <c r="T796" t="s">
        <v>33</v>
      </c>
      <c r="U796" s="31" t="e">
        <v>#N/A</v>
      </c>
      <c r="V796" t="s">
        <v>34</v>
      </c>
      <c r="Y796" t="e">
        <f>VLOOKUP(A796,[2]!PRGX[[#All],[Proveedor]],1,FALSE)</f>
        <v>#REF!</v>
      </c>
    </row>
    <row r="797" spans="1:26" x14ac:dyDescent="0.25">
      <c r="A797" s="25">
        <v>305</v>
      </c>
      <c r="B797" s="25" t="s">
        <v>823</v>
      </c>
      <c r="C797" s="26">
        <v>17886</v>
      </c>
      <c r="D797" s="27">
        <v>64607884.719999999</v>
      </c>
      <c r="E797" s="27">
        <v>63556612.68</v>
      </c>
      <c r="F797" s="27">
        <v>1051272.04</v>
      </c>
      <c r="G797" s="27">
        <f>VLOOKUP(A797,'[1]saldos al 26May26'!$C$2:$I$1010,7,FALSE)</f>
        <v>2201856.1</v>
      </c>
      <c r="H797" s="39" t="s">
        <v>54</v>
      </c>
      <c r="I797" s="28"/>
      <c r="J797" s="29"/>
      <c r="K797" s="25" t="s">
        <v>29</v>
      </c>
      <c r="L797" s="25" t="s">
        <v>30</v>
      </c>
      <c r="M797" s="36" t="s">
        <v>55</v>
      </c>
      <c r="N797" s="25"/>
      <c r="O797" t="s">
        <v>47</v>
      </c>
      <c r="P797" s="32">
        <v>-102548.56</v>
      </c>
      <c r="Q797" s="30">
        <v>71107.95</v>
      </c>
      <c r="R797" s="30"/>
      <c r="S797" s="30" t="s">
        <v>63</v>
      </c>
      <c r="T797" t="s">
        <v>33</v>
      </c>
      <c r="U797" s="31" t="e">
        <v>#N/A</v>
      </c>
      <c r="V797" t="s">
        <v>34</v>
      </c>
      <c r="Y797" t="e">
        <f>VLOOKUP(A797,[2]!PRGX[[#All],[Proveedor]],1,FALSE)</f>
        <v>#REF!</v>
      </c>
    </row>
    <row r="798" spans="1:26" x14ac:dyDescent="0.25">
      <c r="A798" s="52">
        <v>23285</v>
      </c>
      <c r="B798" s="52" t="s">
        <v>824</v>
      </c>
      <c r="C798" s="53">
        <v>9479</v>
      </c>
      <c r="D798" s="54">
        <v>64324890.469999999</v>
      </c>
      <c r="E798" s="27">
        <v>38689352.030000001</v>
      </c>
      <c r="F798" s="27">
        <v>25635538.440000001</v>
      </c>
      <c r="G798" s="54">
        <f>VLOOKUP(A798,'[1]saldos al 26May26'!$C$2:$I$1010,7,FALSE)</f>
        <v>-7173025.7300000004</v>
      </c>
      <c r="H798" s="54"/>
      <c r="I798" s="55"/>
      <c r="J798" s="56">
        <v>294514.86433614552</v>
      </c>
      <c r="K798" s="52" t="s">
        <v>40</v>
      </c>
      <c r="L798" s="52" t="s">
        <v>30</v>
      </c>
      <c r="M798" s="52" t="s">
        <v>31</v>
      </c>
      <c r="N798" s="52" t="s">
        <v>87</v>
      </c>
      <c r="O798" s="57" t="s">
        <v>87</v>
      </c>
      <c r="P798" s="59">
        <v>-126760.62</v>
      </c>
      <c r="Q798" s="58">
        <v>0</v>
      </c>
      <c r="R798" s="30">
        <v>100000</v>
      </c>
      <c r="S798" s="30" t="e">
        <v>#N/A</v>
      </c>
      <c r="T798" s="57" t="s">
        <v>34</v>
      </c>
      <c r="U798" s="31" t="e">
        <v>#N/A</v>
      </c>
      <c r="V798" s="57" t="s">
        <v>34</v>
      </c>
      <c r="X798" t="s">
        <v>43</v>
      </c>
      <c r="Y798" t="e">
        <f>VLOOKUP(A798,[2]!PRGX[[#All],[Proveedor]],1,FALSE)</f>
        <v>#REF!</v>
      </c>
    </row>
    <row r="799" spans="1:26" x14ac:dyDescent="0.25">
      <c r="A799" s="25">
        <v>397521</v>
      </c>
      <c r="B799" s="25" t="s">
        <v>825</v>
      </c>
      <c r="C799" s="26">
        <v>6538</v>
      </c>
      <c r="D799" s="27">
        <v>64061732.450000003</v>
      </c>
      <c r="E799" s="27">
        <v>58651170.350000001</v>
      </c>
      <c r="F799" s="27">
        <v>5410562.0999999996</v>
      </c>
      <c r="G799" s="27">
        <f>VLOOKUP(A799,'[1]saldos al 26May26'!$C$2:$I$1010,7,FALSE)</f>
        <v>-441765.17</v>
      </c>
      <c r="H799" s="27"/>
      <c r="I799" s="28"/>
      <c r="J799" s="29">
        <v>560849.54006544594</v>
      </c>
      <c r="K799" s="25" t="s">
        <v>40</v>
      </c>
      <c r="L799" s="25" t="s">
        <v>30</v>
      </c>
      <c r="M799" s="25" t="s">
        <v>50</v>
      </c>
      <c r="N799" s="25" t="s">
        <v>36</v>
      </c>
      <c r="O799" t="s">
        <v>36</v>
      </c>
      <c r="P799" s="32">
        <v>-176086.3</v>
      </c>
      <c r="Q799" s="30">
        <v>382894.99</v>
      </c>
      <c r="R799" s="30"/>
      <c r="S799" s="30" t="s">
        <v>63</v>
      </c>
      <c r="T799" s="57" t="s">
        <v>33</v>
      </c>
      <c r="U799" s="31" t="s">
        <v>33</v>
      </c>
      <c r="V799" t="s">
        <v>33</v>
      </c>
      <c r="Y799" t="e">
        <f>VLOOKUP(A799,[2]!PRGX[[#All],[Proveedor]],1,FALSE)</f>
        <v>#REF!</v>
      </c>
    </row>
    <row r="800" spans="1:26" x14ac:dyDescent="0.25">
      <c r="A800" s="25">
        <v>25150</v>
      </c>
      <c r="B800" s="25" t="s">
        <v>826</v>
      </c>
      <c r="C800" s="26">
        <v>2913</v>
      </c>
      <c r="D800" s="27">
        <v>63852793.93</v>
      </c>
      <c r="E800" s="27">
        <v>10388342.25</v>
      </c>
      <c r="F800" s="27">
        <v>53464451.68</v>
      </c>
      <c r="G800" s="27">
        <f>VLOOKUP(A800,'[1]saldos al 26May26'!$C$2:$I$1010,7,FALSE)</f>
        <v>-771052.61</v>
      </c>
      <c r="H800" s="27"/>
      <c r="I800" s="28"/>
      <c r="J800" s="29"/>
      <c r="K800" s="25" t="s">
        <v>40</v>
      </c>
      <c r="L800" s="25" t="s">
        <v>30</v>
      </c>
      <c r="M800" s="25" t="s">
        <v>55</v>
      </c>
      <c r="N800" s="25" t="s">
        <v>32</v>
      </c>
      <c r="O800" t="s">
        <v>32</v>
      </c>
      <c r="P800" s="32">
        <v>-14138.47</v>
      </c>
      <c r="Q800" s="30">
        <v>0</v>
      </c>
      <c r="R800" s="30">
        <v>1204809.23</v>
      </c>
      <c r="S800" s="30" t="e">
        <v>#N/A</v>
      </c>
      <c r="T800" t="s">
        <v>34</v>
      </c>
      <c r="U800" s="31" t="e">
        <v>#N/A</v>
      </c>
      <c r="V800" t="s">
        <v>34</v>
      </c>
      <c r="Y800" t="e">
        <f>VLOOKUP(A800,[2]!PRGX[[#All],[Proveedor]],1,FALSE)</f>
        <v>#REF!</v>
      </c>
    </row>
    <row r="801" spans="1:25" x14ac:dyDescent="0.25">
      <c r="A801" s="25">
        <v>55731</v>
      </c>
      <c r="B801" s="25" t="s">
        <v>827</v>
      </c>
      <c r="C801" s="26">
        <v>26538</v>
      </c>
      <c r="D801" s="27">
        <v>63612323.463</v>
      </c>
      <c r="E801" s="27">
        <v>58762684.795000002</v>
      </c>
      <c r="F801" s="27">
        <v>4849638.6679999996</v>
      </c>
      <c r="G801" s="27">
        <f>VLOOKUP(A801,'[1]saldos al 26May26'!$C$2:$I$1010,7,FALSE)</f>
        <v>-163007.57999999999</v>
      </c>
      <c r="H801" s="27"/>
      <c r="I801" s="28"/>
      <c r="J801" s="29">
        <v>95411.767500000016</v>
      </c>
      <c r="K801" s="25" t="s">
        <v>40</v>
      </c>
      <c r="L801" s="25" t="s">
        <v>30</v>
      </c>
      <c r="M801" s="25" t="s">
        <v>31</v>
      </c>
      <c r="N801" s="25" t="s">
        <v>51</v>
      </c>
      <c r="O801" t="s">
        <v>51</v>
      </c>
      <c r="P801" s="30">
        <v>2891415.07</v>
      </c>
      <c r="Q801" s="30">
        <v>0</v>
      </c>
      <c r="R801" s="30"/>
      <c r="S801" s="30" t="e">
        <v>#N/A</v>
      </c>
      <c r="T801" t="s">
        <v>34</v>
      </c>
      <c r="U801" s="31" t="e">
        <v>#N/A</v>
      </c>
      <c r="V801" t="s">
        <v>34</v>
      </c>
      <c r="Y801" t="e">
        <f>VLOOKUP(A801,[2]!PRGX[[#All],[Proveedor]],1,FALSE)</f>
        <v>#REF!</v>
      </c>
    </row>
    <row r="802" spans="1:25" x14ac:dyDescent="0.25">
      <c r="A802" s="25">
        <v>23939</v>
      </c>
      <c r="B802" s="25" t="s">
        <v>828</v>
      </c>
      <c r="C802" s="26">
        <v>248</v>
      </c>
      <c r="D802" s="27">
        <v>63534000.049999997</v>
      </c>
      <c r="E802" s="27">
        <v>27617180.399999999</v>
      </c>
      <c r="F802" s="27">
        <v>35916819.649999999</v>
      </c>
      <c r="G802" s="27">
        <f>VLOOKUP(A802,'[1]saldos al 26May26'!$C$2:$I$1010,7,FALSE)</f>
        <v>11713.83</v>
      </c>
      <c r="H802" s="39" t="s">
        <v>54</v>
      </c>
      <c r="I802" s="28"/>
      <c r="J802" s="29"/>
      <c r="K802" s="25" t="s">
        <v>29</v>
      </c>
      <c r="L802" s="25" t="s">
        <v>30</v>
      </c>
      <c r="M802" s="36" t="s">
        <v>55</v>
      </c>
      <c r="N802" s="25"/>
      <c r="O802" s="43" t="s">
        <v>41</v>
      </c>
      <c r="P802" s="30">
        <v>7108111.3499999996</v>
      </c>
      <c r="Q802" s="30">
        <v>7756071.5599999996</v>
      </c>
      <c r="R802" s="30"/>
      <c r="S802" s="30" t="s">
        <v>63</v>
      </c>
      <c r="T802" t="s">
        <v>33</v>
      </c>
      <c r="U802" s="31" t="e">
        <v>#N/A</v>
      </c>
      <c r="V802" t="s">
        <v>34</v>
      </c>
      <c r="Y802" t="e">
        <f>VLOOKUP(A802,[2]!PRGX[[#All],[Proveedor]],1,FALSE)</f>
        <v>#REF!</v>
      </c>
    </row>
    <row r="803" spans="1:25" x14ac:dyDescent="0.25">
      <c r="A803" s="25">
        <v>9348</v>
      </c>
      <c r="B803" s="25" t="s">
        <v>829</v>
      </c>
      <c r="C803" s="26">
        <v>8019</v>
      </c>
      <c r="D803" s="27">
        <v>63453631.82</v>
      </c>
      <c r="E803" s="27">
        <v>48716639.219999999</v>
      </c>
      <c r="F803" s="27">
        <v>14736992.6</v>
      </c>
      <c r="G803" s="27">
        <f>VLOOKUP(A803,'[1]saldos al 26May26'!$C$2:$I$1010,7,FALSE)</f>
        <v>-3094775.69</v>
      </c>
      <c r="H803" s="27"/>
      <c r="I803" s="28"/>
      <c r="J803" s="29">
        <v>54350.501646771998</v>
      </c>
      <c r="K803" s="25" t="s">
        <v>40</v>
      </c>
      <c r="L803" s="25" t="s">
        <v>30</v>
      </c>
      <c r="M803" s="25" t="s">
        <v>55</v>
      </c>
      <c r="N803" s="25" t="s">
        <v>80</v>
      </c>
      <c r="O803" t="s">
        <v>80</v>
      </c>
      <c r="P803" s="32">
        <v>-310701.36</v>
      </c>
      <c r="Q803" s="30">
        <v>0</v>
      </c>
      <c r="R803" s="30"/>
      <c r="S803" s="30" t="e">
        <v>#N/A</v>
      </c>
      <c r="T803" t="s">
        <v>34</v>
      </c>
      <c r="U803" s="31" t="e">
        <v>#N/A</v>
      </c>
      <c r="V803" t="s">
        <v>34</v>
      </c>
      <c r="Y803" t="e">
        <f>VLOOKUP(A803,[2]!PRGX[[#All],[Proveedor]],1,FALSE)</f>
        <v>#REF!</v>
      </c>
    </row>
    <row r="804" spans="1:25" x14ac:dyDescent="0.25">
      <c r="A804" s="25">
        <v>15191</v>
      </c>
      <c r="B804" s="25" t="s">
        <v>830</v>
      </c>
      <c r="C804" s="26">
        <v>226</v>
      </c>
      <c r="D804" s="27">
        <v>63265500.07</v>
      </c>
      <c r="E804" s="27">
        <v>56481730.07</v>
      </c>
      <c r="F804" s="27">
        <v>6783770</v>
      </c>
      <c r="G804" s="27">
        <f>VLOOKUP(A804,'[1]saldos al 26May26'!$C$2:$I$1010,7,FALSE)</f>
        <v>0</v>
      </c>
      <c r="H804" s="39" t="s">
        <v>54</v>
      </c>
      <c r="I804" s="28"/>
      <c r="J804" s="29">
        <v>33674.592470233998</v>
      </c>
      <c r="K804" s="25" t="s">
        <v>40</v>
      </c>
      <c r="L804" s="25" t="s">
        <v>30</v>
      </c>
      <c r="M804" s="25" t="s">
        <v>55</v>
      </c>
      <c r="N804" s="25" t="s">
        <v>32</v>
      </c>
      <c r="O804" t="s">
        <v>32</v>
      </c>
      <c r="P804" s="30">
        <v>0</v>
      </c>
      <c r="Q804" s="30">
        <v>0</v>
      </c>
      <c r="R804" s="30"/>
      <c r="S804" s="30" t="e">
        <v>#N/A</v>
      </c>
      <c r="T804" t="s">
        <v>34</v>
      </c>
      <c r="U804" s="31" t="e">
        <v>#N/A</v>
      </c>
      <c r="V804" t="s">
        <v>34</v>
      </c>
      <c r="Y804" t="e">
        <f>VLOOKUP(A804,[2]!PRGX[[#All],[Proveedor]],1,FALSE)</f>
        <v>#REF!</v>
      </c>
    </row>
    <row r="805" spans="1:25" x14ac:dyDescent="0.25">
      <c r="A805" s="25">
        <v>5614</v>
      </c>
      <c r="B805" s="25" t="s">
        <v>831</v>
      </c>
      <c r="C805" s="26">
        <v>6248</v>
      </c>
      <c r="D805" s="27">
        <v>63226114.899999999</v>
      </c>
      <c r="E805" s="27">
        <v>60792441.100000001</v>
      </c>
      <c r="F805" s="27">
        <v>2433673.7999999998</v>
      </c>
      <c r="G805" s="27">
        <f>VLOOKUP(A805,'[1]saldos al 26May26'!$C$2:$I$1010,7,FALSE)</f>
        <v>-16280.08</v>
      </c>
      <c r="H805" s="27"/>
      <c r="I805" s="28"/>
      <c r="J805" s="29">
        <v>258237.281404095</v>
      </c>
      <c r="K805" s="25" t="s">
        <v>40</v>
      </c>
      <c r="L805" s="25" t="s">
        <v>30</v>
      </c>
      <c r="M805" s="25" t="s">
        <v>31</v>
      </c>
      <c r="N805" s="25" t="s">
        <v>45</v>
      </c>
      <c r="O805" t="s">
        <v>45</v>
      </c>
      <c r="P805" s="32">
        <v>-89434.12</v>
      </c>
      <c r="Q805" s="30">
        <v>4473.76</v>
      </c>
      <c r="R805" s="30"/>
      <c r="S805" s="30" t="e">
        <v>#N/A</v>
      </c>
      <c r="T805" t="s">
        <v>34</v>
      </c>
      <c r="U805" s="31" t="e">
        <v>#N/A</v>
      </c>
      <c r="V805" t="s">
        <v>34</v>
      </c>
      <c r="Y805" t="e">
        <f>VLOOKUP(A805,[2]!PRGX[[#All],[Proveedor]],1,FALSE)</f>
        <v>#REF!</v>
      </c>
    </row>
    <row r="806" spans="1:25" x14ac:dyDescent="0.25">
      <c r="A806" s="25">
        <v>304190</v>
      </c>
      <c r="B806" s="25" t="s">
        <v>832</v>
      </c>
      <c r="C806" s="26">
        <v>2317</v>
      </c>
      <c r="D806" s="27">
        <v>62743605.240000002</v>
      </c>
      <c r="E806" s="27">
        <v>16284016.32</v>
      </c>
      <c r="F806" s="27">
        <v>46459588.920000002</v>
      </c>
      <c r="G806" s="27">
        <f>VLOOKUP(A806,'[1]saldos al 26May26'!$C$2:$I$1010,7,FALSE)</f>
        <v>-15625498.279999999</v>
      </c>
      <c r="H806" s="27"/>
      <c r="I806" s="28"/>
      <c r="J806" s="29"/>
      <c r="K806" s="25" t="s">
        <v>40</v>
      </c>
      <c r="L806" s="25" t="s">
        <v>30</v>
      </c>
      <c r="M806" s="25" t="s">
        <v>55</v>
      </c>
      <c r="N806" s="25" t="s">
        <v>45</v>
      </c>
      <c r="O806" t="s">
        <v>45</v>
      </c>
      <c r="P806" s="32">
        <v>-272568.71999999997</v>
      </c>
      <c r="Q806" s="30">
        <v>0</v>
      </c>
      <c r="R806" s="30">
        <v>250000</v>
      </c>
      <c r="S806" s="30" t="e">
        <v>#N/A</v>
      </c>
      <c r="T806" t="s">
        <v>34</v>
      </c>
      <c r="U806" s="31" t="e">
        <v>#N/A</v>
      </c>
      <c r="V806" t="s">
        <v>34</v>
      </c>
      <c r="Y806" t="e">
        <f>VLOOKUP(A806,[2]!PRGX[[#All],[Proveedor]],1,FALSE)</f>
        <v>#REF!</v>
      </c>
    </row>
    <row r="807" spans="1:25" x14ac:dyDescent="0.25">
      <c r="A807" s="25">
        <v>16807</v>
      </c>
      <c r="B807" s="25" t="s">
        <v>833</v>
      </c>
      <c r="C807" s="26">
        <v>12002</v>
      </c>
      <c r="D807" s="27">
        <v>60658357.560000002</v>
      </c>
      <c r="E807" s="27">
        <v>49935644.760000005</v>
      </c>
      <c r="F807" s="27">
        <v>10722712.800000001</v>
      </c>
      <c r="G807" s="27">
        <f>VLOOKUP(A807,'[1]saldos al 26May26'!$C$2:$I$1010,7,FALSE)</f>
        <v>-558893.17000000004</v>
      </c>
      <c r="H807" s="27"/>
      <c r="I807" s="28"/>
      <c r="J807" s="29">
        <v>161713.56348407399</v>
      </c>
      <c r="K807" s="25" t="s">
        <v>40</v>
      </c>
      <c r="L807" s="25" t="s">
        <v>30</v>
      </c>
      <c r="M807" s="25" t="s">
        <v>31</v>
      </c>
      <c r="N807" s="25" t="s">
        <v>41</v>
      </c>
      <c r="O807" t="s">
        <v>41</v>
      </c>
      <c r="P807" s="32">
        <v>-42603.380000000005</v>
      </c>
      <c r="Q807" s="30">
        <v>0</v>
      </c>
      <c r="R807" s="30">
        <v>151276.10999999999</v>
      </c>
      <c r="S807" s="30" t="s">
        <v>63</v>
      </c>
      <c r="T807" s="57" t="s">
        <v>33</v>
      </c>
      <c r="U807" s="31" t="s">
        <v>33</v>
      </c>
      <c r="V807" t="s">
        <v>33</v>
      </c>
      <c r="Y807" t="e">
        <f>VLOOKUP(A807,[2]!PRGX[[#All],[Proveedor]],1,FALSE)</f>
        <v>#REF!</v>
      </c>
    </row>
    <row r="808" spans="1:25" x14ac:dyDescent="0.25">
      <c r="A808" s="25">
        <v>23318</v>
      </c>
      <c r="B808" s="25" t="s">
        <v>834</v>
      </c>
      <c r="C808" s="26">
        <v>6216</v>
      </c>
      <c r="D808" s="27">
        <v>59797502.810000002</v>
      </c>
      <c r="E808" s="27">
        <v>40471771.010000005</v>
      </c>
      <c r="F808" s="27">
        <v>19325731.800000001</v>
      </c>
      <c r="G808" s="27">
        <f>VLOOKUP(A808,'[1]saldos al 26May26'!$C$2:$I$1010,7,FALSE)</f>
        <v>-2711134.03</v>
      </c>
      <c r="H808" s="27"/>
      <c r="I808" s="28"/>
      <c r="J808" s="29">
        <v>88084.172213964484</v>
      </c>
      <c r="K808" s="25" t="s">
        <v>40</v>
      </c>
      <c r="L808" s="25" t="s">
        <v>30</v>
      </c>
      <c r="M808" s="25" t="s">
        <v>31</v>
      </c>
      <c r="N808" s="25" t="s">
        <v>80</v>
      </c>
      <c r="O808" t="s">
        <v>80</v>
      </c>
      <c r="P808" s="32">
        <v>-10196.529999999999</v>
      </c>
      <c r="Q808" s="30">
        <v>0</v>
      </c>
      <c r="R808" s="30">
        <v>52000</v>
      </c>
      <c r="S808" s="30" t="e">
        <v>#N/A</v>
      </c>
      <c r="T808" t="s">
        <v>34</v>
      </c>
      <c r="U808" s="31" t="e">
        <v>#N/A</v>
      </c>
      <c r="V808" t="s">
        <v>34</v>
      </c>
      <c r="Y808" t="e">
        <f>VLOOKUP(A808,[2]!PRGX[[#All],[Proveedor]],1,FALSE)</f>
        <v>#REF!</v>
      </c>
    </row>
    <row r="809" spans="1:25" x14ac:dyDescent="0.25">
      <c r="A809" s="25">
        <v>139246</v>
      </c>
      <c r="B809" s="25" t="s">
        <v>835</v>
      </c>
      <c r="C809" s="26">
        <v>3133</v>
      </c>
      <c r="D809" s="27">
        <v>59103157.030000001</v>
      </c>
      <c r="E809" s="27">
        <v>51290313.299999997</v>
      </c>
      <c r="F809" s="27">
        <v>7812843.7300000004</v>
      </c>
      <c r="G809" s="27">
        <f>VLOOKUP(A809,'[1]saldos al 26May26'!$C$2:$I$1010,7,FALSE)</f>
        <v>-497588.98</v>
      </c>
      <c r="H809" s="27"/>
      <c r="I809" s="28"/>
      <c r="J809" s="29"/>
      <c r="K809" s="25" t="s">
        <v>29</v>
      </c>
      <c r="L809" s="25" t="s">
        <v>30</v>
      </c>
      <c r="M809" s="25" t="s">
        <v>31</v>
      </c>
      <c r="N809" s="25"/>
      <c r="O809" t="s">
        <v>80</v>
      </c>
      <c r="P809" s="32">
        <v>-155130.82999999999</v>
      </c>
      <c r="Q809" s="30">
        <v>319428.59000000003</v>
      </c>
      <c r="R809" s="30"/>
      <c r="S809" s="30" t="s">
        <v>63</v>
      </c>
      <c r="T809" t="s">
        <v>33</v>
      </c>
      <c r="U809" s="31" t="e">
        <v>#N/A</v>
      </c>
      <c r="V809" t="s">
        <v>34</v>
      </c>
      <c r="Y809" t="e">
        <f>VLOOKUP(A809,[2]!PRGX[[#All],[Proveedor]],1,FALSE)</f>
        <v>#REF!</v>
      </c>
    </row>
    <row r="810" spans="1:25" x14ac:dyDescent="0.25">
      <c r="A810" s="25">
        <v>201</v>
      </c>
      <c r="B810" s="25" t="s">
        <v>836</v>
      </c>
      <c r="C810" s="26">
        <v>1409</v>
      </c>
      <c r="D810" s="27">
        <v>58405018.18</v>
      </c>
      <c r="E810" s="27">
        <v>26855322.210000001</v>
      </c>
      <c r="F810" s="27">
        <v>31549695.969999999</v>
      </c>
      <c r="G810" s="27">
        <f>VLOOKUP(A810,'[1]saldos al 26May26'!$C$2:$I$1010,7,FALSE)</f>
        <v>-181652.68</v>
      </c>
      <c r="H810" s="27"/>
      <c r="I810" s="28"/>
      <c r="J810" s="29">
        <v>81285.179999999993</v>
      </c>
      <c r="K810" s="25" t="s">
        <v>40</v>
      </c>
      <c r="L810" s="25" t="s">
        <v>30</v>
      </c>
      <c r="M810" s="25" t="s">
        <v>31</v>
      </c>
      <c r="N810" s="25" t="s">
        <v>70</v>
      </c>
      <c r="O810" t="s">
        <v>70</v>
      </c>
      <c r="P810" s="32">
        <v>-797.06000000000006</v>
      </c>
      <c r="Q810" s="30">
        <v>0</v>
      </c>
      <c r="R810" s="30">
        <v>714992.19</v>
      </c>
      <c r="S810" s="30" t="s">
        <v>63</v>
      </c>
      <c r="T810" s="57" t="s">
        <v>33</v>
      </c>
      <c r="U810" s="31" t="s">
        <v>33</v>
      </c>
      <c r="V810" t="s">
        <v>33</v>
      </c>
      <c r="Y810" t="e">
        <f>VLOOKUP(A810,[2]!PRGX[[#All],[Proveedor]],1,FALSE)</f>
        <v>#REF!</v>
      </c>
    </row>
    <row r="811" spans="1:25" x14ac:dyDescent="0.25">
      <c r="A811" s="25">
        <v>32821</v>
      </c>
      <c r="B811" s="25" t="s">
        <v>837</v>
      </c>
      <c r="C811" s="26">
        <v>14469</v>
      </c>
      <c r="D811" s="27">
        <v>58242425.130000003</v>
      </c>
      <c r="E811" s="27">
        <v>51220735.109999999</v>
      </c>
      <c r="F811" s="27">
        <v>7021690.0199999996</v>
      </c>
      <c r="G811" s="27">
        <f>VLOOKUP(A811,'[1]saldos al 26May26'!$C$2:$I$1010,7,FALSE)</f>
        <v>-813326.34</v>
      </c>
      <c r="H811" s="27"/>
      <c r="I811" s="28"/>
      <c r="J811" s="29">
        <v>159654.2193279145</v>
      </c>
      <c r="K811" s="25" t="s">
        <v>40</v>
      </c>
      <c r="L811" s="25" t="s">
        <v>30</v>
      </c>
      <c r="M811" s="25" t="s">
        <v>31</v>
      </c>
      <c r="N811" s="25" t="s">
        <v>36</v>
      </c>
      <c r="O811" t="s">
        <v>36</v>
      </c>
      <c r="P811" s="32">
        <v>-95531.19</v>
      </c>
      <c r="Q811" s="30">
        <v>20444</v>
      </c>
      <c r="R811" s="30"/>
      <c r="S811" s="30" t="e">
        <v>#N/A</v>
      </c>
      <c r="T811" t="s">
        <v>34</v>
      </c>
      <c r="U811" s="31">
        <v>0</v>
      </c>
      <c r="V811" t="s">
        <v>42</v>
      </c>
      <c r="Y811" t="e">
        <f>VLOOKUP(A811,[2]!PRGX[[#All],[Proveedor]],1,FALSE)</f>
        <v>#REF!</v>
      </c>
    </row>
    <row r="812" spans="1:25" x14ac:dyDescent="0.25">
      <c r="A812" s="25">
        <v>71233</v>
      </c>
      <c r="B812" s="25" t="s">
        <v>838</v>
      </c>
      <c r="C812" s="26">
        <v>144904</v>
      </c>
      <c r="D812" s="27">
        <v>418716552.28200001</v>
      </c>
      <c r="E812" s="27">
        <v>381861918.71200001</v>
      </c>
      <c r="F812" s="27">
        <v>36854633.57</v>
      </c>
      <c r="G812" s="27">
        <f>VLOOKUP(A812,'[1]saldos al 26May26'!$C$2:$I$1010,7,FALSE)</f>
        <v>-22958280.300000001</v>
      </c>
      <c r="H812" s="27"/>
      <c r="I812" s="28"/>
      <c r="J812" s="29"/>
      <c r="K812" s="25" t="s">
        <v>29</v>
      </c>
      <c r="L812" s="25" t="s">
        <v>30</v>
      </c>
      <c r="M812" s="25" t="s">
        <v>59</v>
      </c>
      <c r="N812" s="25"/>
      <c r="O812" t="s">
        <v>56</v>
      </c>
      <c r="P812" s="32">
        <v>-296953.64</v>
      </c>
      <c r="Q812" s="30">
        <v>-48650.32</v>
      </c>
      <c r="R812" s="30">
        <v>823209.49</v>
      </c>
      <c r="S812" s="30" t="s">
        <v>63</v>
      </c>
      <c r="T812" t="s">
        <v>33</v>
      </c>
      <c r="U812" s="31">
        <v>0</v>
      </c>
      <c r="V812" t="s">
        <v>42</v>
      </c>
      <c r="Y812" t="e">
        <f>VLOOKUP(A812,[2]!PRGX[[#All],[Proveedor]],1,FALSE)</f>
        <v>#REF!</v>
      </c>
    </row>
    <row r="813" spans="1:25" x14ac:dyDescent="0.25">
      <c r="A813" s="25">
        <v>302208</v>
      </c>
      <c r="B813" s="25" t="s">
        <v>839</v>
      </c>
      <c r="C813" s="26">
        <v>24472</v>
      </c>
      <c r="D813" s="27">
        <v>384238963.06</v>
      </c>
      <c r="E813" s="27">
        <v>329173611.12</v>
      </c>
      <c r="F813" s="27">
        <v>55065351.939999998</v>
      </c>
      <c r="G813" s="27">
        <f>VLOOKUP(A813,'[1]saldos al 26May26'!$C$2:$I$1010,7,FALSE)</f>
        <v>-7658438.4500000002</v>
      </c>
      <c r="H813" s="27"/>
      <c r="I813" s="28"/>
      <c r="J813" s="29"/>
      <c r="K813" s="25" t="s">
        <v>29</v>
      </c>
      <c r="L813" s="25" t="s">
        <v>30</v>
      </c>
      <c r="M813" s="25" t="s">
        <v>59</v>
      </c>
      <c r="N813" s="25"/>
      <c r="O813" t="s">
        <v>56</v>
      </c>
      <c r="P813" s="30">
        <v>79.619999999995343</v>
      </c>
      <c r="Q813" s="30">
        <v>0</v>
      </c>
      <c r="R813" s="30">
        <v>157140</v>
      </c>
      <c r="S813" s="30" t="s">
        <v>33</v>
      </c>
      <c r="T813" t="s">
        <v>33</v>
      </c>
      <c r="U813" s="31" t="e">
        <v>#N/A</v>
      </c>
      <c r="V813" t="s">
        <v>34</v>
      </c>
      <c r="Y813" t="e">
        <f>VLOOKUP(A813,[2]!PRGX[[#All],[Proveedor]],1,FALSE)</f>
        <v>#REF!</v>
      </c>
    </row>
    <row r="814" spans="1:25" x14ac:dyDescent="0.25">
      <c r="A814" s="25">
        <v>93872</v>
      </c>
      <c r="B814" s="25" t="s">
        <v>840</v>
      </c>
      <c r="C814" s="26">
        <v>13477</v>
      </c>
      <c r="D814" s="27">
        <v>57704217.880000003</v>
      </c>
      <c r="E814" s="27">
        <v>46026685.310000002</v>
      </c>
      <c r="F814" s="27">
        <v>11677532.57</v>
      </c>
      <c r="G814" s="27">
        <f>VLOOKUP(A814,'[1]saldos al 26May26'!$C$2:$I$1010,7,FALSE)</f>
        <v>-962753.58</v>
      </c>
      <c r="H814" s="27"/>
      <c r="I814" s="28"/>
      <c r="J814" s="29">
        <v>94952.382686186989</v>
      </c>
      <c r="K814" s="25" t="s">
        <v>40</v>
      </c>
      <c r="L814" s="25" t="s">
        <v>30</v>
      </c>
      <c r="M814" s="25" t="s">
        <v>31</v>
      </c>
      <c r="N814" s="25" t="s">
        <v>47</v>
      </c>
      <c r="O814" t="s">
        <v>47</v>
      </c>
      <c r="P814" s="30">
        <v>79726.320000000007</v>
      </c>
      <c r="Q814" s="30">
        <v>91813.49</v>
      </c>
      <c r="R814" s="30"/>
      <c r="S814" s="30" t="e">
        <v>#N/A</v>
      </c>
      <c r="T814" t="s">
        <v>34</v>
      </c>
      <c r="U814" s="31">
        <v>0</v>
      </c>
      <c r="V814" t="s">
        <v>42</v>
      </c>
      <c r="Y814" t="e">
        <f>VLOOKUP(A814,[2]!PRGX[[#All],[Proveedor]],1,FALSE)</f>
        <v>#REF!</v>
      </c>
    </row>
    <row r="815" spans="1:25" x14ac:dyDescent="0.25">
      <c r="A815" s="52">
        <v>14482</v>
      </c>
      <c r="B815" s="52" t="s">
        <v>841</v>
      </c>
      <c r="C815" s="53">
        <v>84464</v>
      </c>
      <c r="D815" s="54">
        <v>57664094.450000003</v>
      </c>
      <c r="E815" s="27">
        <v>48179776.719999999</v>
      </c>
      <c r="F815" s="27">
        <v>9484317.7300000004</v>
      </c>
      <c r="G815" s="54">
        <f>VLOOKUP(A815,'[1]saldos al 26May26'!$C$2:$I$1010,7,FALSE)</f>
        <v>-1555164.24</v>
      </c>
      <c r="H815" s="54"/>
      <c r="I815" s="55"/>
      <c r="J815" s="56">
        <v>628077.09991157299</v>
      </c>
      <c r="K815" s="52" t="s">
        <v>40</v>
      </c>
      <c r="L815" s="52" t="s">
        <v>30</v>
      </c>
      <c r="M815" s="52" t="s">
        <v>50</v>
      </c>
      <c r="N815" s="52" t="s">
        <v>32</v>
      </c>
      <c r="O815" s="57" t="s">
        <v>32</v>
      </c>
      <c r="P815" s="58">
        <v>53402.92</v>
      </c>
      <c r="Q815" s="58">
        <v>725</v>
      </c>
      <c r="R815" s="30">
        <v>50000</v>
      </c>
      <c r="S815" s="30">
        <v>0</v>
      </c>
      <c r="T815" s="57" t="s">
        <v>34</v>
      </c>
      <c r="U815" s="31">
        <v>0</v>
      </c>
      <c r="V815" s="57" t="s">
        <v>34</v>
      </c>
      <c r="X815" t="s">
        <v>43</v>
      </c>
      <c r="Y815" t="e">
        <f>VLOOKUP(A815,[2]!PRGX[[#All],[Proveedor]],1,FALSE)</f>
        <v>#REF!</v>
      </c>
    </row>
    <row r="816" spans="1:25" x14ac:dyDescent="0.25">
      <c r="A816" s="25">
        <v>314161</v>
      </c>
      <c r="B816" s="25" t="s">
        <v>842</v>
      </c>
      <c r="C816" s="26">
        <v>20617</v>
      </c>
      <c r="D816" s="27">
        <v>57299575.670000002</v>
      </c>
      <c r="E816" s="27">
        <v>45493105.829999998</v>
      </c>
      <c r="F816" s="27">
        <v>11806469.84</v>
      </c>
      <c r="G816" s="27">
        <f>VLOOKUP(A816,'[1]saldos al 26May26'!$C$2:$I$1010,7,FALSE)</f>
        <v>-827552.09</v>
      </c>
      <c r="H816" s="27"/>
      <c r="I816" s="28"/>
      <c r="J816" s="29">
        <v>113103.58197749549</v>
      </c>
      <c r="K816" s="25" t="s">
        <v>40</v>
      </c>
      <c r="L816" s="25" t="s">
        <v>30</v>
      </c>
      <c r="M816" s="25" t="s">
        <v>31</v>
      </c>
      <c r="N816" s="25" t="s">
        <v>80</v>
      </c>
      <c r="O816" t="s">
        <v>80</v>
      </c>
      <c r="P816" s="30">
        <v>16621.100000000002</v>
      </c>
      <c r="Q816" s="30">
        <v>35925.760000000002</v>
      </c>
      <c r="R816" s="30">
        <v>148200</v>
      </c>
      <c r="S816" s="30" t="e">
        <v>#N/A</v>
      </c>
      <c r="T816" t="s">
        <v>34</v>
      </c>
      <c r="U816" s="31" t="e">
        <v>#N/A</v>
      </c>
      <c r="V816" t="s">
        <v>34</v>
      </c>
      <c r="Y816" t="e">
        <f>VLOOKUP(A816,[2]!PRGX[[#All],[Proveedor]],1,FALSE)</f>
        <v>#REF!</v>
      </c>
    </row>
    <row r="817" spans="1:26" x14ac:dyDescent="0.25">
      <c r="A817" s="25">
        <v>46524</v>
      </c>
      <c r="B817" s="25" t="s">
        <v>843</v>
      </c>
      <c r="C817" s="26">
        <v>4712</v>
      </c>
      <c r="D817" s="27">
        <v>56978812.100000001</v>
      </c>
      <c r="E817" s="27">
        <v>52535480.420000002</v>
      </c>
      <c r="F817" s="27">
        <v>4443331.68</v>
      </c>
      <c r="G817" s="27">
        <f>VLOOKUP(A817,'[1]saldos al 26May26'!$C$2:$I$1010,7,FALSE)</f>
        <v>-1149369.3500000001</v>
      </c>
      <c r="H817" s="27"/>
      <c r="I817" s="28"/>
      <c r="J817" s="29">
        <v>133725.423767158</v>
      </c>
      <c r="K817" s="25" t="s">
        <v>40</v>
      </c>
      <c r="L817" s="25" t="s">
        <v>30</v>
      </c>
      <c r="M817" s="25" t="s">
        <v>31</v>
      </c>
      <c r="N817" s="25" t="s">
        <v>38</v>
      </c>
      <c r="O817" t="s">
        <v>38</v>
      </c>
      <c r="P817" s="30">
        <v>274946.15000000002</v>
      </c>
      <c r="Q817" s="30">
        <v>410288.16</v>
      </c>
      <c r="R817" s="30">
        <v>128533.3</v>
      </c>
      <c r="S817" s="30" t="s">
        <v>63</v>
      </c>
      <c r="T817" s="57" t="s">
        <v>33</v>
      </c>
      <c r="U817" s="31" t="s">
        <v>33</v>
      </c>
      <c r="V817" t="s">
        <v>33</v>
      </c>
      <c r="Y817" t="e">
        <f>VLOOKUP(A817,[2]!PRGX[[#All],[Proveedor]],1,FALSE)</f>
        <v>#REF!</v>
      </c>
    </row>
    <row r="818" spans="1:26" x14ac:dyDescent="0.25">
      <c r="A818" s="25">
        <v>301531</v>
      </c>
      <c r="B818" s="25" t="s">
        <v>844</v>
      </c>
      <c r="C818" s="26">
        <v>2809</v>
      </c>
      <c r="D818" s="27">
        <v>56949379.369999997</v>
      </c>
      <c r="E818" s="27">
        <v>39398220.109999999</v>
      </c>
      <c r="F818" s="27">
        <v>17551159.260000002</v>
      </c>
      <c r="G818" s="27">
        <f>VLOOKUP(A818,'[1]saldos al 26May26'!$C$2:$I$1010,7,FALSE)</f>
        <v>-2278425.12</v>
      </c>
      <c r="H818" s="27"/>
      <c r="I818" s="28"/>
      <c r="J818" s="29">
        <v>255675.09000000003</v>
      </c>
      <c r="K818" s="25" t="s">
        <v>40</v>
      </c>
      <c r="L818" s="25" t="s">
        <v>30</v>
      </c>
      <c r="M818" s="25" t="s">
        <v>31</v>
      </c>
      <c r="N818" s="25" t="s">
        <v>51</v>
      </c>
      <c r="O818" t="s">
        <v>51</v>
      </c>
      <c r="P818" s="32">
        <v>-111507.78</v>
      </c>
      <c r="Q818" s="30">
        <v>0</v>
      </c>
      <c r="R818" s="30"/>
      <c r="S818" s="30" t="e">
        <v>#N/A</v>
      </c>
      <c r="T818" t="s">
        <v>34</v>
      </c>
      <c r="U818" s="31" t="e">
        <v>#N/A</v>
      </c>
      <c r="V818" t="s">
        <v>34</v>
      </c>
      <c r="Y818" t="e">
        <f>VLOOKUP(A818,[2]!PRGX[[#All],[Proveedor]],1,FALSE)</f>
        <v>#REF!</v>
      </c>
    </row>
    <row r="819" spans="1:26" x14ac:dyDescent="0.25">
      <c r="A819" s="25">
        <v>9264</v>
      </c>
      <c r="B819" s="25" t="s">
        <v>845</v>
      </c>
      <c r="C819" s="26">
        <v>4271</v>
      </c>
      <c r="D819" s="27">
        <v>56260479.649999999</v>
      </c>
      <c r="E819" s="27">
        <v>48246208.030000001</v>
      </c>
      <c r="F819" s="27">
        <v>8014271.6200000001</v>
      </c>
      <c r="G819" s="27">
        <f>VLOOKUP(A819,'[1]saldos al 26May26'!$C$2:$I$1010,7,FALSE)</f>
        <v>0</v>
      </c>
      <c r="H819" s="39" t="s">
        <v>54</v>
      </c>
      <c r="I819" s="28"/>
      <c r="J819" s="29">
        <v>271668.91242599452</v>
      </c>
      <c r="K819" s="25" t="s">
        <v>40</v>
      </c>
      <c r="L819" s="25" t="s">
        <v>30</v>
      </c>
      <c r="M819" s="36" t="s">
        <v>55</v>
      </c>
      <c r="N819" s="25" t="s">
        <v>67</v>
      </c>
      <c r="O819" t="s">
        <v>67</v>
      </c>
      <c r="P819" s="32">
        <v>-339537.25</v>
      </c>
      <c r="Q819" s="30">
        <v>0</v>
      </c>
      <c r="R819" s="30"/>
      <c r="S819" s="30" t="e">
        <v>#N/A</v>
      </c>
      <c r="T819" t="s">
        <v>34</v>
      </c>
      <c r="U819" s="31">
        <v>0</v>
      </c>
      <c r="V819" t="s">
        <v>42</v>
      </c>
      <c r="Y819" t="e">
        <f>VLOOKUP(A819,[2]!PRGX[[#All],[Proveedor]],1,FALSE)</f>
        <v>#REF!</v>
      </c>
    </row>
    <row r="820" spans="1:26" s="42" customFormat="1" x14ac:dyDescent="0.25">
      <c r="A820" s="25">
        <v>35576</v>
      </c>
      <c r="B820" s="25" t="s">
        <v>846</v>
      </c>
      <c r="C820" s="26">
        <v>3981</v>
      </c>
      <c r="D820" s="27">
        <v>56096294.700000003</v>
      </c>
      <c r="E820" s="27">
        <v>49788878.100000001</v>
      </c>
      <c r="F820" s="27">
        <v>6307416.5999999996</v>
      </c>
      <c r="G820" s="27">
        <f>VLOOKUP(A820,'[1]saldos al 26May26'!$C$2:$I$1010,7,FALSE)</f>
        <v>-1262721.97</v>
      </c>
      <c r="H820" s="27"/>
      <c r="I820" s="28"/>
      <c r="J820" s="29">
        <v>44436.673396812999</v>
      </c>
      <c r="K820" s="25" t="s">
        <v>40</v>
      </c>
      <c r="L820" s="25" t="s">
        <v>30</v>
      </c>
      <c r="M820" s="25" t="s">
        <v>55</v>
      </c>
      <c r="N820" s="25" t="s">
        <v>36</v>
      </c>
      <c r="O820" t="s">
        <v>36</v>
      </c>
      <c r="P820" s="32">
        <v>-186997.24</v>
      </c>
      <c r="Q820" s="30">
        <v>0</v>
      </c>
      <c r="R820" s="30"/>
      <c r="S820" s="30" t="e">
        <v>#N/A</v>
      </c>
      <c r="T820" t="s">
        <v>34</v>
      </c>
      <c r="U820" s="31">
        <v>0</v>
      </c>
      <c r="V820" t="s">
        <v>42</v>
      </c>
      <c r="W820"/>
      <c r="Y820" t="e">
        <f>VLOOKUP(A820,[2]!PRGX[[#All],[Proveedor]],1,FALSE)</f>
        <v>#REF!</v>
      </c>
      <c r="Z820"/>
    </row>
    <row r="821" spans="1:26" x14ac:dyDescent="0.25">
      <c r="A821" s="25">
        <v>92767</v>
      </c>
      <c r="B821" s="25" t="s">
        <v>847</v>
      </c>
      <c r="C821" s="26">
        <v>28426</v>
      </c>
      <c r="D821" s="27">
        <v>55925362.329999998</v>
      </c>
      <c r="E821" s="27">
        <v>46701810.849999994</v>
      </c>
      <c r="F821" s="27">
        <v>9223551.4800000004</v>
      </c>
      <c r="G821" s="27">
        <f>VLOOKUP(A821,'[1]saldos al 26May26'!$C$2:$I$1010,7,FALSE)</f>
        <v>-1900230.71</v>
      </c>
      <c r="H821" s="27"/>
      <c r="I821" s="28"/>
      <c r="J821" s="29"/>
      <c r="K821" s="25" t="s">
        <v>29</v>
      </c>
      <c r="L821" s="25" t="s">
        <v>30</v>
      </c>
      <c r="M821" s="25" t="s">
        <v>31</v>
      </c>
      <c r="N821" s="25" t="s">
        <v>45</v>
      </c>
      <c r="O821" t="s">
        <v>45</v>
      </c>
      <c r="P821" s="32">
        <v>-223224.65</v>
      </c>
      <c r="Q821" s="30">
        <v>286514.40999999997</v>
      </c>
      <c r="R821" s="30">
        <v>49982</v>
      </c>
      <c r="S821" s="30" t="s">
        <v>63</v>
      </c>
      <c r="T821" t="s">
        <v>33</v>
      </c>
      <c r="U821" s="31" t="e">
        <v>#N/A</v>
      </c>
      <c r="V821" t="s">
        <v>34</v>
      </c>
      <c r="W821" s="42"/>
      <c r="Y821" t="e">
        <f>VLOOKUP(A821,[2]!PRGX[[#All],[Proveedor]],1,FALSE)</f>
        <v>#REF!</v>
      </c>
    </row>
    <row r="822" spans="1:26" x14ac:dyDescent="0.25">
      <c r="A822" s="25">
        <v>388801</v>
      </c>
      <c r="B822" s="25" t="s">
        <v>848</v>
      </c>
      <c r="C822" s="26">
        <v>12138</v>
      </c>
      <c r="D822" s="27">
        <v>55886236.030000001</v>
      </c>
      <c r="E822" s="27">
        <v>47415584.939999998</v>
      </c>
      <c r="F822" s="27">
        <v>8470651.0899999999</v>
      </c>
      <c r="G822" s="27">
        <f>VLOOKUP(A822,'[1]saldos al 26May26'!$C$2:$I$1010,7,FALSE)</f>
        <v>-917337.38</v>
      </c>
      <c r="H822" s="27"/>
      <c r="I822" s="28"/>
      <c r="J822" s="29">
        <v>244464.55312255654</v>
      </c>
      <c r="K822" s="25" t="s">
        <v>40</v>
      </c>
      <c r="L822" s="25" t="s">
        <v>30</v>
      </c>
      <c r="M822" s="25" t="s">
        <v>31</v>
      </c>
      <c r="N822" s="25" t="s">
        <v>41</v>
      </c>
      <c r="O822" t="s">
        <v>41</v>
      </c>
      <c r="P822" s="32">
        <v>-89432.680000000008</v>
      </c>
      <c r="Q822" s="30">
        <v>0</v>
      </c>
      <c r="R822" s="30"/>
      <c r="S822" s="30" t="s">
        <v>63</v>
      </c>
      <c r="T822" s="57" t="s">
        <v>33</v>
      </c>
      <c r="U822" s="31" t="s">
        <v>33</v>
      </c>
      <c r="V822" t="s">
        <v>33</v>
      </c>
      <c r="Y822" t="e">
        <f>VLOOKUP(A822,[2]!PRGX[[#All],[Proveedor]],1,FALSE)</f>
        <v>#REF!</v>
      </c>
    </row>
    <row r="823" spans="1:26" s="42" customFormat="1" x14ac:dyDescent="0.25">
      <c r="A823" s="25">
        <v>331041</v>
      </c>
      <c r="B823" s="25" t="s">
        <v>849</v>
      </c>
      <c r="C823" s="26">
        <v>110810</v>
      </c>
      <c r="D823" s="27">
        <v>352943801.20899999</v>
      </c>
      <c r="E823" s="27">
        <v>298622825.65799999</v>
      </c>
      <c r="F823" s="27">
        <v>54320975.550999999</v>
      </c>
      <c r="G823" s="27">
        <f>VLOOKUP(A823,'[1]saldos al 26May26'!$C$2:$I$1010,7,FALSE)</f>
        <v>-3594662.08</v>
      </c>
      <c r="H823" s="27"/>
      <c r="I823" s="28"/>
      <c r="J823" s="29"/>
      <c r="K823" s="25" t="s">
        <v>40</v>
      </c>
      <c r="L823" s="25" t="s">
        <v>30</v>
      </c>
      <c r="M823" s="25" t="s">
        <v>55</v>
      </c>
      <c r="N823" s="25" t="s">
        <v>56</v>
      </c>
      <c r="O823" t="s">
        <v>56</v>
      </c>
      <c r="P823" s="32">
        <v>-626739.59000000008</v>
      </c>
      <c r="Q823" s="30">
        <v>138526.81</v>
      </c>
      <c r="R823" s="30"/>
      <c r="S823" s="30" t="e">
        <v>#N/A</v>
      </c>
      <c r="T823" t="s">
        <v>34</v>
      </c>
      <c r="U823" s="31" t="e">
        <v>#N/A</v>
      </c>
      <c r="V823" t="s">
        <v>34</v>
      </c>
      <c r="W823"/>
      <c r="Y823" t="e">
        <f>VLOOKUP(A823,[2]!PRGX[[#All],[Proveedor]],1,FALSE)</f>
        <v>#REF!</v>
      </c>
      <c r="Z823"/>
    </row>
    <row r="824" spans="1:26" x14ac:dyDescent="0.25">
      <c r="A824" s="25">
        <v>393140</v>
      </c>
      <c r="B824" s="25" t="s">
        <v>850</v>
      </c>
      <c r="C824" s="26">
        <v>4482</v>
      </c>
      <c r="D824" s="27">
        <v>54362279.100000001</v>
      </c>
      <c r="E824" s="27">
        <v>46924404.550000004</v>
      </c>
      <c r="F824" s="27">
        <v>7437874.5499999998</v>
      </c>
      <c r="G824" s="27">
        <f>VLOOKUP(A824,'[1]saldos al 26May26'!$C$2:$I$1010,7,FALSE)</f>
        <v>0</v>
      </c>
      <c r="H824" s="39" t="s">
        <v>54</v>
      </c>
      <c r="I824" s="28"/>
      <c r="J824" s="29">
        <v>704720.62521528045</v>
      </c>
      <c r="K824" s="25" t="s">
        <v>40</v>
      </c>
      <c r="L824" s="25" t="s">
        <v>30</v>
      </c>
      <c r="M824" s="36" t="s">
        <v>55</v>
      </c>
      <c r="N824" s="25" t="s">
        <v>87</v>
      </c>
      <c r="O824" t="s">
        <v>87</v>
      </c>
      <c r="P824" s="32">
        <v>-1062909.6200000001</v>
      </c>
      <c r="Q824" s="30">
        <v>0</v>
      </c>
      <c r="R824" s="30">
        <v>17840.689999999999</v>
      </c>
      <c r="S824" s="30" t="e">
        <v>#N/A</v>
      </c>
      <c r="T824" t="s">
        <v>34</v>
      </c>
      <c r="U824" s="31" t="e">
        <v>#N/A</v>
      </c>
      <c r="V824" t="s">
        <v>34</v>
      </c>
      <c r="Y824" t="e">
        <f>VLOOKUP(A824,[2]!PRGX[[#All],[Proveedor]],1,FALSE)</f>
        <v>#REF!</v>
      </c>
    </row>
    <row r="825" spans="1:26" x14ac:dyDescent="0.25">
      <c r="A825" s="36">
        <v>531178</v>
      </c>
      <c r="B825" s="36" t="s">
        <v>851</v>
      </c>
      <c r="C825" s="37">
        <v>3336</v>
      </c>
      <c r="D825" s="38">
        <v>54300150.052000001</v>
      </c>
      <c r="E825" s="38">
        <v>44717988.792000003</v>
      </c>
      <c r="F825" s="38">
        <v>9582161.2599999998</v>
      </c>
      <c r="G825" s="38" t="e">
        <f>VLOOKUP(A825,'[1]saldos al 26May26'!$C$2:$I$1010,7,FALSE)</f>
        <v>#N/A</v>
      </c>
      <c r="H825" s="39" t="s">
        <v>54</v>
      </c>
      <c r="I825" s="40" t="s">
        <v>27</v>
      </c>
      <c r="J825" s="41"/>
      <c r="K825" s="36" t="s">
        <v>29</v>
      </c>
      <c r="L825" s="36" t="s">
        <v>30</v>
      </c>
      <c r="M825" s="36" t="s">
        <v>55</v>
      </c>
      <c r="N825" s="25"/>
      <c r="O825" s="42" t="s">
        <v>87</v>
      </c>
      <c r="P825" s="30">
        <v>92252002.160000011</v>
      </c>
      <c r="Q825" s="30">
        <v>13338461.25</v>
      </c>
      <c r="R825" s="30">
        <v>101183.28</v>
      </c>
      <c r="S825" s="30" t="s">
        <v>33</v>
      </c>
      <c r="T825" t="s">
        <v>33</v>
      </c>
      <c r="U825" s="31" t="e">
        <v>#N/A</v>
      </c>
      <c r="V825" t="s">
        <v>34</v>
      </c>
      <c r="Y825" t="e">
        <f>VLOOKUP(A825,[2]!PRGX[[#All],[Proveedor]],1,FALSE)</f>
        <v>#REF!</v>
      </c>
      <c r="Z825">
        <v>531178</v>
      </c>
    </row>
    <row r="826" spans="1:26" x14ac:dyDescent="0.25">
      <c r="A826" s="25">
        <v>20456</v>
      </c>
      <c r="B826" s="25" t="s">
        <v>852</v>
      </c>
      <c r="C826" s="26">
        <v>660</v>
      </c>
      <c r="D826" s="27">
        <v>53665826.799999997</v>
      </c>
      <c r="E826" s="27">
        <v>35287719.299999997</v>
      </c>
      <c r="F826" s="27">
        <v>18378107.5</v>
      </c>
      <c r="G826" s="27">
        <f>VLOOKUP(A826,'[1]saldos al 26May26'!$C$2:$I$1010,7,FALSE)</f>
        <v>-6559056.79</v>
      </c>
      <c r="H826" s="27"/>
      <c r="I826" s="28"/>
      <c r="J826" s="29"/>
      <c r="K826" s="25" t="s">
        <v>29</v>
      </c>
      <c r="L826" s="25" t="s">
        <v>30</v>
      </c>
      <c r="M826" s="25" t="s">
        <v>55</v>
      </c>
      <c r="N826" s="25"/>
      <c r="O826" t="s">
        <v>45</v>
      </c>
      <c r="P826" s="32">
        <v>-7084.2</v>
      </c>
      <c r="Q826" s="30">
        <v>0</v>
      </c>
      <c r="R826" s="30"/>
      <c r="S826" s="30" t="s">
        <v>63</v>
      </c>
      <c r="T826" t="s">
        <v>33</v>
      </c>
      <c r="U826" s="31" t="e">
        <v>#N/A</v>
      </c>
      <c r="V826" t="s">
        <v>34</v>
      </c>
      <c r="Y826" t="e">
        <f>VLOOKUP(A826,[2]!PRGX[[#All],[Proveedor]],1,FALSE)</f>
        <v>#REF!</v>
      </c>
    </row>
    <row r="827" spans="1:26" x14ac:dyDescent="0.25">
      <c r="A827" s="52">
        <v>24221</v>
      </c>
      <c r="B827" s="52" t="s">
        <v>853</v>
      </c>
      <c r="C827" s="53">
        <v>5986</v>
      </c>
      <c r="D827" s="54">
        <v>53620859.75</v>
      </c>
      <c r="E827" s="27">
        <v>39537379.380000003</v>
      </c>
      <c r="F827" s="27">
        <v>14083480.369999999</v>
      </c>
      <c r="G827" s="54">
        <f>VLOOKUP(A827,'[1]saldos al 26May26'!$C$2:$I$1010,7,FALSE)</f>
        <v>-7144694.4900000002</v>
      </c>
      <c r="H827" s="54"/>
      <c r="I827" s="55"/>
      <c r="J827" s="56">
        <v>555918.11576532002</v>
      </c>
      <c r="K827" s="52" t="s">
        <v>40</v>
      </c>
      <c r="L827" s="52" t="s">
        <v>30</v>
      </c>
      <c r="M827" s="52" t="s">
        <v>50</v>
      </c>
      <c r="N827" s="52" t="s">
        <v>38</v>
      </c>
      <c r="O827" s="57" t="s">
        <v>38</v>
      </c>
      <c r="P827" s="59">
        <v>-101852.07</v>
      </c>
      <c r="Q827" s="58">
        <v>0</v>
      </c>
      <c r="R827" s="30"/>
      <c r="S827" s="30" t="s">
        <v>63</v>
      </c>
      <c r="T827" s="57" t="s">
        <v>33</v>
      </c>
      <c r="U827" s="31" t="s">
        <v>33</v>
      </c>
      <c r="V827" t="s">
        <v>33</v>
      </c>
      <c r="Y827" t="e">
        <f>VLOOKUP(A827,[2]!PRGX[[#All],[Proveedor]],1,FALSE)</f>
        <v>#REF!</v>
      </c>
    </row>
    <row r="828" spans="1:26" x14ac:dyDescent="0.25">
      <c r="A828" s="25">
        <v>374140</v>
      </c>
      <c r="B828" s="25" t="s">
        <v>337</v>
      </c>
      <c r="C828" s="26">
        <v>340</v>
      </c>
      <c r="D828" s="27">
        <v>53066317.340000004</v>
      </c>
      <c r="E828" s="27">
        <v>48909316.940000005</v>
      </c>
      <c r="F828" s="27">
        <v>4157000.4</v>
      </c>
      <c r="G828" s="27">
        <f>VLOOKUP(A828,'[1]saldos al 26May26'!$C$2:$I$1010,7,FALSE)</f>
        <v>-3100.39</v>
      </c>
      <c r="H828" s="27"/>
      <c r="I828" s="28"/>
      <c r="J828" s="29">
        <v>153083.70521883518</v>
      </c>
      <c r="K828" s="25" t="s">
        <v>40</v>
      </c>
      <c r="L828" s="25" t="s">
        <v>30</v>
      </c>
      <c r="M828" s="25" t="s">
        <v>31</v>
      </c>
      <c r="N828" s="25" t="s">
        <v>36</v>
      </c>
      <c r="O828" t="s">
        <v>36</v>
      </c>
      <c r="P828" s="32">
        <v>-128881.26</v>
      </c>
      <c r="Q828" s="30">
        <v>0</v>
      </c>
      <c r="R828" s="30"/>
      <c r="S828" s="30" t="e">
        <v>#N/A</v>
      </c>
      <c r="T828" t="s">
        <v>34</v>
      </c>
      <c r="U828" s="31" t="e">
        <v>#N/A</v>
      </c>
      <c r="V828" t="s">
        <v>34</v>
      </c>
      <c r="Y828" t="e">
        <f>VLOOKUP(A828,[2]!PRGX[[#All],[Proveedor]],1,FALSE)</f>
        <v>#REF!</v>
      </c>
    </row>
    <row r="829" spans="1:26" x14ac:dyDescent="0.25">
      <c r="A829" s="25">
        <v>22140</v>
      </c>
      <c r="B829" s="25" t="s">
        <v>854</v>
      </c>
      <c r="C829" s="26">
        <v>805</v>
      </c>
      <c r="D829" s="27">
        <v>53059553.109999999</v>
      </c>
      <c r="E829" s="27">
        <v>20112853.899999999</v>
      </c>
      <c r="F829" s="27">
        <v>32946699.210000001</v>
      </c>
      <c r="G829" s="27">
        <f>VLOOKUP(A829,'[1]saldos al 26May26'!$C$2:$I$1010,7,FALSE)</f>
        <v>-2412834.48</v>
      </c>
      <c r="H829" s="27"/>
      <c r="I829" s="28"/>
      <c r="J829" s="29">
        <v>853719.54138871492</v>
      </c>
      <c r="K829" s="25" t="s">
        <v>40</v>
      </c>
      <c r="L829" s="25" t="s">
        <v>30</v>
      </c>
      <c r="M829" s="25" t="s">
        <v>59</v>
      </c>
      <c r="N829" s="25" t="s">
        <v>70</v>
      </c>
      <c r="O829" t="s">
        <v>70</v>
      </c>
      <c r="P829" s="32">
        <v>-55619.37</v>
      </c>
      <c r="Q829" s="30">
        <v>0</v>
      </c>
      <c r="R829" s="30"/>
      <c r="S829" s="30">
        <v>0</v>
      </c>
      <c r="T829" t="s">
        <v>33</v>
      </c>
      <c r="U829" s="31" t="s">
        <v>33</v>
      </c>
      <c r="V829" t="s">
        <v>33</v>
      </c>
      <c r="Y829" t="e">
        <f>VLOOKUP(A829,[2]!PRGX[[#All],[Proveedor]],1,FALSE)</f>
        <v>#REF!</v>
      </c>
    </row>
    <row r="830" spans="1:26" x14ac:dyDescent="0.25">
      <c r="A830" s="25">
        <v>399014</v>
      </c>
      <c r="B830" s="25" t="s">
        <v>855</v>
      </c>
      <c r="C830" s="26">
        <v>1343</v>
      </c>
      <c r="D830" s="27">
        <v>52853436.159999996</v>
      </c>
      <c r="E830" s="27">
        <v>49483926.159999996</v>
      </c>
      <c r="F830" s="27">
        <v>3369510</v>
      </c>
      <c r="G830" s="27">
        <f>VLOOKUP(A830,'[1]saldos al 26May26'!$C$2:$I$1010,7,FALSE)</f>
        <v>-1926016.3</v>
      </c>
      <c r="H830" s="27"/>
      <c r="I830" s="28"/>
      <c r="J830" s="29">
        <v>31476.319041874991</v>
      </c>
      <c r="K830" s="25" t="s">
        <v>40</v>
      </c>
      <c r="L830" s="25" t="s">
        <v>30</v>
      </c>
      <c r="M830" s="25" t="s">
        <v>55</v>
      </c>
      <c r="N830" s="25" t="s">
        <v>70</v>
      </c>
      <c r="O830" t="s">
        <v>70</v>
      </c>
      <c r="P830" s="30">
        <v>0</v>
      </c>
      <c r="Q830" s="30">
        <v>0</v>
      </c>
      <c r="R830" s="30">
        <v>11734.23</v>
      </c>
      <c r="S830" s="30" t="e">
        <v>#N/A</v>
      </c>
      <c r="T830" t="s">
        <v>34</v>
      </c>
      <c r="U830" s="31" t="e">
        <v>#N/A</v>
      </c>
      <c r="V830" t="s">
        <v>34</v>
      </c>
      <c r="Y830" t="e">
        <f>VLOOKUP(A830,[2]!PRGX[[#All],[Proveedor]],1,FALSE)</f>
        <v>#REF!</v>
      </c>
    </row>
    <row r="831" spans="1:26" x14ac:dyDescent="0.25">
      <c r="A831" s="52">
        <v>20192</v>
      </c>
      <c r="B831" s="52" t="s">
        <v>856</v>
      </c>
      <c r="C831" s="53">
        <v>2699</v>
      </c>
      <c r="D831" s="54">
        <v>52377387.039999999</v>
      </c>
      <c r="E831" s="27">
        <v>44721571.060000002</v>
      </c>
      <c r="F831" s="27">
        <v>7655815.9800000004</v>
      </c>
      <c r="G831" s="54">
        <f>VLOOKUP(A831,'[1]saldos al 26May26'!$C$2:$I$1010,7,FALSE)</f>
        <v>-1294344.05</v>
      </c>
      <c r="H831" s="54"/>
      <c r="I831" s="55"/>
      <c r="J831" s="56">
        <v>553013.95575829898</v>
      </c>
      <c r="K831" s="52" t="s">
        <v>40</v>
      </c>
      <c r="L831" s="52" t="s">
        <v>30</v>
      </c>
      <c r="M831" s="52" t="s">
        <v>50</v>
      </c>
      <c r="N831" s="52" t="s">
        <v>32</v>
      </c>
      <c r="O831" s="57" t="s">
        <v>32</v>
      </c>
      <c r="P831" s="59">
        <v>-374745.52</v>
      </c>
      <c r="Q831" s="58">
        <v>0</v>
      </c>
      <c r="R831" s="30">
        <v>643268.35</v>
      </c>
      <c r="S831" s="30" t="s">
        <v>63</v>
      </c>
      <c r="T831" s="57" t="s">
        <v>33</v>
      </c>
      <c r="U831" s="31" t="s">
        <v>33</v>
      </c>
      <c r="V831" t="s">
        <v>33</v>
      </c>
      <c r="Y831" t="e">
        <f>VLOOKUP(A831,[2]!PRGX[[#All],[Proveedor]],1,FALSE)</f>
        <v>#REF!</v>
      </c>
    </row>
    <row r="832" spans="1:26" x14ac:dyDescent="0.25">
      <c r="A832" s="25">
        <v>3437</v>
      </c>
      <c r="B832" s="25" t="s">
        <v>857</v>
      </c>
      <c r="C832" s="26">
        <v>4588</v>
      </c>
      <c r="D832" s="27">
        <v>52219019.600000001</v>
      </c>
      <c r="E832" s="27">
        <v>47768930.890000001</v>
      </c>
      <c r="F832" s="27">
        <v>4450088.71</v>
      </c>
      <c r="G832" s="27">
        <f>VLOOKUP(A832,'[1]saldos al 26May26'!$C$2:$I$1010,7,FALSE)</f>
        <v>0</v>
      </c>
      <c r="H832" s="39" t="s">
        <v>54</v>
      </c>
      <c r="I832" s="28"/>
      <c r="J832" s="29"/>
      <c r="K832" s="25" t="s">
        <v>29</v>
      </c>
      <c r="L832" s="25" t="s">
        <v>30</v>
      </c>
      <c r="M832" s="36" t="s">
        <v>55</v>
      </c>
      <c r="N832" s="25"/>
      <c r="O832" t="s">
        <v>45</v>
      </c>
      <c r="P832" s="32">
        <v>-263899.40000000002</v>
      </c>
      <c r="Q832" s="30">
        <v>0</v>
      </c>
      <c r="R832" s="30"/>
      <c r="S832" s="30" t="s">
        <v>63</v>
      </c>
      <c r="T832" t="s">
        <v>33</v>
      </c>
      <c r="U832" s="31" t="e">
        <v>#N/A</v>
      </c>
      <c r="V832" t="s">
        <v>34</v>
      </c>
      <c r="Y832" t="e">
        <f>VLOOKUP(A832,[2]!PRGX[[#All],[Proveedor]],1,FALSE)</f>
        <v>#REF!</v>
      </c>
    </row>
    <row r="833" spans="1:25" x14ac:dyDescent="0.25">
      <c r="A833" s="25">
        <v>24177</v>
      </c>
      <c r="B833" s="25" t="s">
        <v>858</v>
      </c>
      <c r="C833" s="26">
        <v>16625</v>
      </c>
      <c r="D833" s="27">
        <v>52141647.240000002</v>
      </c>
      <c r="E833" s="27">
        <v>40452206.880000003</v>
      </c>
      <c r="F833" s="27">
        <v>11689440.359999999</v>
      </c>
      <c r="G833" s="27">
        <f>VLOOKUP(A833,'[1]saldos al 26May26'!$C$2:$I$1010,7,FALSE)</f>
        <v>-1741483.67</v>
      </c>
      <c r="H833" s="27"/>
      <c r="I833" s="28"/>
      <c r="J833" s="29"/>
      <c r="K833" s="25" t="s">
        <v>29</v>
      </c>
      <c r="L833" s="25" t="s">
        <v>30</v>
      </c>
      <c r="M833" s="25" t="s">
        <v>31</v>
      </c>
      <c r="N833" s="25"/>
      <c r="O833" t="s">
        <v>45</v>
      </c>
      <c r="P833" s="32">
        <v>-1125920.8</v>
      </c>
      <c r="Q833" s="30">
        <v>0</v>
      </c>
      <c r="R833" s="30"/>
      <c r="S833" s="30" t="s">
        <v>63</v>
      </c>
      <c r="T833" t="s">
        <v>33</v>
      </c>
      <c r="U833" s="31" t="e">
        <v>#N/A</v>
      </c>
      <c r="V833" t="s">
        <v>34</v>
      </c>
      <c r="W833" s="42"/>
      <c r="Y833" t="e">
        <f>VLOOKUP(A833,[2]!PRGX[[#All],[Proveedor]],1,FALSE)</f>
        <v>#REF!</v>
      </c>
    </row>
    <row r="834" spans="1:25" x14ac:dyDescent="0.25">
      <c r="A834" s="25">
        <v>391979</v>
      </c>
      <c r="B834" s="25" t="s">
        <v>859</v>
      </c>
      <c r="C834" s="26">
        <v>50422</v>
      </c>
      <c r="D834" s="27">
        <v>345985123.37</v>
      </c>
      <c r="E834" s="27">
        <v>280141344.97000003</v>
      </c>
      <c r="F834" s="27">
        <v>65843778.399999999</v>
      </c>
      <c r="G834" s="27">
        <f>VLOOKUP(A834,'[1]saldos al 26May26'!$C$2:$I$1010,7,FALSE)</f>
        <v>-2561843.14</v>
      </c>
      <c r="H834" s="27"/>
      <c r="I834" s="28"/>
      <c r="J834" s="29"/>
      <c r="K834" s="25" t="s">
        <v>40</v>
      </c>
      <c r="L834" s="25" t="s">
        <v>30</v>
      </c>
      <c r="M834" s="25" t="s">
        <v>55</v>
      </c>
      <c r="N834" s="25" t="s">
        <v>56</v>
      </c>
      <c r="O834" t="s">
        <v>56</v>
      </c>
      <c r="P834" s="32">
        <v>-2389593.9699999997</v>
      </c>
      <c r="Q834" s="30">
        <v>0</v>
      </c>
      <c r="R834" s="30">
        <v>10217</v>
      </c>
      <c r="S834" s="30" t="e">
        <v>#N/A</v>
      </c>
      <c r="T834" t="s">
        <v>34</v>
      </c>
      <c r="U834" s="31" t="e">
        <v>#N/A</v>
      </c>
      <c r="V834" t="s">
        <v>34</v>
      </c>
      <c r="Y834" t="e">
        <f>VLOOKUP(A834,[2]!PRGX[[#All],[Proveedor]],1,FALSE)</f>
        <v>#REF!</v>
      </c>
    </row>
    <row r="835" spans="1:25" x14ac:dyDescent="0.25">
      <c r="A835" s="25">
        <v>315002</v>
      </c>
      <c r="B835" s="25" t="s">
        <v>860</v>
      </c>
      <c r="C835" s="26">
        <v>2440</v>
      </c>
      <c r="D835" s="27">
        <v>51229623.049999997</v>
      </c>
      <c r="E835" s="27">
        <v>39472640.780000001</v>
      </c>
      <c r="F835" s="27">
        <v>11756982.27</v>
      </c>
      <c r="G835" s="27">
        <f>VLOOKUP(A835,'[1]saldos al 26May26'!$C$2:$I$1010,7,FALSE)</f>
        <v>-492953.88</v>
      </c>
      <c r="H835" s="27"/>
      <c r="I835" s="28"/>
      <c r="J835" s="29">
        <v>638733.80304042599</v>
      </c>
      <c r="K835" s="25" t="s">
        <v>40</v>
      </c>
      <c r="L835" s="25" t="s">
        <v>30</v>
      </c>
      <c r="M835" s="25" t="s">
        <v>50</v>
      </c>
      <c r="N835" s="25" t="s">
        <v>45</v>
      </c>
      <c r="O835" t="s">
        <v>45</v>
      </c>
      <c r="P835" s="32">
        <v>-114536.66</v>
      </c>
      <c r="Q835" s="30">
        <v>-850.74</v>
      </c>
      <c r="R835" s="30"/>
      <c r="S835" s="30" t="e">
        <v>#N/A</v>
      </c>
      <c r="T835" t="s">
        <v>34</v>
      </c>
      <c r="U835" s="31" t="e">
        <v>#N/A</v>
      </c>
      <c r="V835" t="s">
        <v>34</v>
      </c>
      <c r="Y835" t="e">
        <f>VLOOKUP(A835,[2]!PRGX[[#All],[Proveedor]],1,FALSE)</f>
        <v>#REF!</v>
      </c>
    </row>
    <row r="836" spans="1:25" x14ac:dyDescent="0.25">
      <c r="A836" s="25">
        <v>12700</v>
      </c>
      <c r="B836" s="25" t="s">
        <v>861</v>
      </c>
      <c r="C836" s="26">
        <v>21224</v>
      </c>
      <c r="D836" s="27">
        <v>50863376.509999998</v>
      </c>
      <c r="E836" s="27">
        <v>40417325.349999994</v>
      </c>
      <c r="F836" s="27">
        <v>10446051.16</v>
      </c>
      <c r="G836" s="27">
        <f>VLOOKUP(A836,'[1]saldos al 26May26'!$C$2:$I$1010,7,FALSE)</f>
        <v>-1542991.02</v>
      </c>
      <c r="H836" s="27"/>
      <c r="I836" s="28"/>
      <c r="J836" s="29">
        <v>2526985.4058682667</v>
      </c>
      <c r="K836" s="25" t="s">
        <v>40</v>
      </c>
      <c r="L836" s="25" t="s">
        <v>30</v>
      </c>
      <c r="M836" s="25" t="s">
        <v>59</v>
      </c>
      <c r="N836" s="25" t="s">
        <v>41</v>
      </c>
      <c r="O836" t="s">
        <v>41</v>
      </c>
      <c r="P836" s="32">
        <v>-41824.78</v>
      </c>
      <c r="Q836" s="30">
        <v>4291.58</v>
      </c>
      <c r="R836" s="30"/>
      <c r="S836" s="30" t="s">
        <v>63</v>
      </c>
      <c r="T836" t="s">
        <v>33</v>
      </c>
      <c r="U836" s="31" t="s">
        <v>33</v>
      </c>
      <c r="V836" t="s">
        <v>33</v>
      </c>
      <c r="Y836" t="e">
        <f>VLOOKUP(A836,[2]!PRGX[[#All],[Proveedor]],1,FALSE)</f>
        <v>#REF!</v>
      </c>
    </row>
    <row r="837" spans="1:25" x14ac:dyDescent="0.25">
      <c r="A837" s="25">
        <v>332155</v>
      </c>
      <c r="B837" s="25" t="s">
        <v>862</v>
      </c>
      <c r="C837" s="26">
        <v>11250</v>
      </c>
      <c r="D837" s="27">
        <v>50813701.32</v>
      </c>
      <c r="E837" s="27">
        <v>36993087.530000001</v>
      </c>
      <c r="F837" s="27">
        <v>13820613.789999999</v>
      </c>
      <c r="G837" s="27">
        <f>VLOOKUP(A837,'[1]saldos al 26May26'!$C$2:$I$1010,7,FALSE)</f>
        <v>-2952041.73</v>
      </c>
      <c r="H837" s="27"/>
      <c r="I837" s="28"/>
      <c r="J837" s="29">
        <v>240589.59600831539</v>
      </c>
      <c r="K837" s="25" t="s">
        <v>40</v>
      </c>
      <c r="L837" s="25" t="s">
        <v>30</v>
      </c>
      <c r="M837" s="25" t="s">
        <v>50</v>
      </c>
      <c r="N837" s="25" t="s">
        <v>36</v>
      </c>
      <c r="O837" t="s">
        <v>36</v>
      </c>
      <c r="P837" s="32">
        <v>-12480.4</v>
      </c>
      <c r="Q837" s="30">
        <v>36935.22</v>
      </c>
      <c r="R837" s="30"/>
      <c r="S837" s="30" t="s">
        <v>33</v>
      </c>
      <c r="T837" s="57" t="s">
        <v>33</v>
      </c>
      <c r="U837" s="31" t="e">
        <v>#N/A</v>
      </c>
      <c r="V837" t="s">
        <v>34</v>
      </c>
      <c r="Y837" t="e">
        <f>VLOOKUP(A837,[2]!PRGX[[#All],[Proveedor]],1,FALSE)</f>
        <v>#REF!</v>
      </c>
    </row>
    <row r="838" spans="1:25" x14ac:dyDescent="0.25">
      <c r="A838" s="25">
        <v>25461</v>
      </c>
      <c r="B838" s="25" t="s">
        <v>863</v>
      </c>
      <c r="C838" s="26">
        <v>7678</v>
      </c>
      <c r="D838" s="27">
        <v>50509727.810000002</v>
      </c>
      <c r="E838" s="27">
        <v>1901155.5</v>
      </c>
      <c r="F838" s="27">
        <v>48608572.310000002</v>
      </c>
      <c r="G838" s="27">
        <f>VLOOKUP(A838,'[1]saldos al 26May26'!$C$2:$I$1010,7,FALSE)</f>
        <v>-21178193.539999999</v>
      </c>
      <c r="H838" s="27"/>
      <c r="I838" s="28"/>
      <c r="J838" s="29">
        <v>14120.388344745999</v>
      </c>
      <c r="K838" s="25" t="s">
        <v>40</v>
      </c>
      <c r="L838" s="25" t="s">
        <v>30</v>
      </c>
      <c r="M838" s="25" t="s">
        <v>55</v>
      </c>
      <c r="N838" s="25" t="s">
        <v>47</v>
      </c>
      <c r="O838" t="s">
        <v>47</v>
      </c>
      <c r="Q838" s="30"/>
      <c r="R838" s="30"/>
      <c r="S838" s="30" t="e">
        <v>#N/A</v>
      </c>
      <c r="T838" t="s">
        <v>34</v>
      </c>
      <c r="U838" s="31" t="e">
        <v>#N/A</v>
      </c>
      <c r="V838" t="s">
        <v>34</v>
      </c>
      <c r="Y838" t="e">
        <f>VLOOKUP(A838,[2]!PRGX[[#All],[Proveedor]],1,FALSE)</f>
        <v>#REF!</v>
      </c>
    </row>
    <row r="839" spans="1:25" x14ac:dyDescent="0.25">
      <c r="A839" s="25">
        <v>799</v>
      </c>
      <c r="B839" s="25" t="s">
        <v>864</v>
      </c>
      <c r="C839" s="26">
        <v>479</v>
      </c>
      <c r="D839" s="27">
        <v>49262733.880000003</v>
      </c>
      <c r="E839" s="27">
        <v>30211896.040000003</v>
      </c>
      <c r="F839" s="27">
        <v>19050837.84</v>
      </c>
      <c r="G839" s="27">
        <f>VLOOKUP(A839,'[1]saldos al 26May26'!$C$2:$I$1010,7,FALSE)</f>
        <v>-7880081.9800000004</v>
      </c>
      <c r="H839" s="27"/>
      <c r="I839" s="28"/>
      <c r="J839" s="29">
        <v>32086.976231036999</v>
      </c>
      <c r="K839" s="25" t="s">
        <v>40</v>
      </c>
      <c r="L839" s="25" t="s">
        <v>30</v>
      </c>
      <c r="M839" s="25" t="s">
        <v>55</v>
      </c>
      <c r="N839" s="25" t="s">
        <v>70</v>
      </c>
      <c r="O839" t="s">
        <v>70</v>
      </c>
      <c r="P839" s="30">
        <v>0</v>
      </c>
      <c r="Q839" s="30">
        <v>-4930</v>
      </c>
      <c r="R839" s="30"/>
      <c r="S839" s="30" t="e">
        <v>#N/A</v>
      </c>
      <c r="T839" t="s">
        <v>34</v>
      </c>
      <c r="U839" s="31">
        <v>0</v>
      </c>
      <c r="V839" t="s">
        <v>42</v>
      </c>
      <c r="Y839" t="e">
        <f>VLOOKUP(A839,[2]!PRGX[[#All],[Proveedor]],1,FALSE)</f>
        <v>#REF!</v>
      </c>
    </row>
    <row r="840" spans="1:25" x14ac:dyDescent="0.25">
      <c r="A840" s="36">
        <v>14239</v>
      </c>
      <c r="B840" s="36" t="s">
        <v>865</v>
      </c>
      <c r="C840" s="37">
        <v>845</v>
      </c>
      <c r="D840" s="38">
        <v>49242324</v>
      </c>
      <c r="E840" s="38">
        <v>43099704</v>
      </c>
      <c r="F840" s="38">
        <v>6142620</v>
      </c>
      <c r="G840" s="38" t="e">
        <f>VLOOKUP(A840,'[1]saldos al 26May26'!$C$2:$I$1010,7,FALSE)</f>
        <v>#N/A</v>
      </c>
      <c r="H840" s="39" t="s">
        <v>54</v>
      </c>
      <c r="I840" s="40"/>
      <c r="J840" s="41">
        <v>623999.09921076417</v>
      </c>
      <c r="K840" s="36" t="s">
        <v>40</v>
      </c>
      <c r="L840" s="36" t="s">
        <v>30</v>
      </c>
      <c r="M840" s="36" t="s">
        <v>55</v>
      </c>
      <c r="N840" s="25" t="s">
        <v>47</v>
      </c>
      <c r="O840" s="42" t="s">
        <v>47</v>
      </c>
      <c r="P840" s="32">
        <v>-2141624.48</v>
      </c>
      <c r="Q840" s="30">
        <v>0</v>
      </c>
      <c r="R840" s="30"/>
      <c r="S840" s="30" t="e">
        <v>#N/A</v>
      </c>
      <c r="T840" t="s">
        <v>34</v>
      </c>
      <c r="U840" s="31" t="e">
        <v>#N/A</v>
      </c>
      <c r="V840" t="s">
        <v>34</v>
      </c>
      <c r="Y840" t="e">
        <f>VLOOKUP(A840,[2]!PRGX[[#All],[Proveedor]],1,FALSE)</f>
        <v>#REF!</v>
      </c>
    </row>
    <row r="841" spans="1:25" x14ac:dyDescent="0.25">
      <c r="A841" s="25">
        <v>24614</v>
      </c>
      <c r="B841" s="25" t="s">
        <v>866</v>
      </c>
      <c r="C841" s="26">
        <v>795</v>
      </c>
      <c r="D841" s="27">
        <v>48702528.390000001</v>
      </c>
      <c r="E841" s="27">
        <v>37747797.82</v>
      </c>
      <c r="F841" s="27">
        <v>10954730.57</v>
      </c>
      <c r="G841" s="27">
        <f>VLOOKUP(A841,'[1]saldos al 26May26'!$C$2:$I$1010,7,FALSE)</f>
        <v>-17891069.350000001</v>
      </c>
      <c r="H841" s="27"/>
      <c r="I841" s="28"/>
      <c r="J841" s="29">
        <v>98437.11081581199</v>
      </c>
      <c r="K841" s="25" t="s">
        <v>40</v>
      </c>
      <c r="L841" s="25" t="s">
        <v>30</v>
      </c>
      <c r="M841" s="25" t="s">
        <v>31</v>
      </c>
      <c r="N841" s="25" t="s">
        <v>96</v>
      </c>
      <c r="O841" t="s">
        <v>96</v>
      </c>
      <c r="P841" s="32">
        <v>-1134020.8899999999</v>
      </c>
      <c r="Q841" s="30">
        <v>0</v>
      </c>
      <c r="R841" s="30"/>
      <c r="S841" s="30" t="e">
        <v>#N/A</v>
      </c>
      <c r="T841" t="s">
        <v>34</v>
      </c>
      <c r="U841" s="31" t="e">
        <v>#N/A</v>
      </c>
      <c r="V841" t="s">
        <v>34</v>
      </c>
      <c r="Y841" t="e">
        <f>VLOOKUP(A841,[2]!PRGX[[#All],[Proveedor]],1,FALSE)</f>
        <v>#REF!</v>
      </c>
    </row>
    <row r="842" spans="1:25" x14ac:dyDescent="0.25">
      <c r="A842" s="25">
        <v>320606</v>
      </c>
      <c r="B842" s="25" t="s">
        <v>867</v>
      </c>
      <c r="C842" s="26">
        <v>3457</v>
      </c>
      <c r="D842" s="27">
        <v>48240757.590000004</v>
      </c>
      <c r="E842" s="27">
        <v>34125614.240000002</v>
      </c>
      <c r="F842" s="27">
        <v>14115143.35</v>
      </c>
      <c r="G842" s="27">
        <f>VLOOKUP(A842,'[1]saldos al 26May26'!$C$2:$I$1010,7,FALSE)</f>
        <v>-2323628.1800000002</v>
      </c>
      <c r="H842" s="27"/>
      <c r="I842" s="28"/>
      <c r="J842" s="29">
        <v>39365.58</v>
      </c>
      <c r="K842" s="25" t="s">
        <v>40</v>
      </c>
      <c r="L842" s="25" t="s">
        <v>30</v>
      </c>
      <c r="M842" s="25" t="s">
        <v>55</v>
      </c>
      <c r="N842" s="25" t="s">
        <v>38</v>
      </c>
      <c r="O842" t="s">
        <v>38</v>
      </c>
      <c r="P842" s="32">
        <v>-28118</v>
      </c>
      <c r="Q842" s="30">
        <v>0</v>
      </c>
      <c r="R842" s="30">
        <v>100000</v>
      </c>
      <c r="S842" s="30" t="s">
        <v>63</v>
      </c>
      <c r="T842" s="57" t="s">
        <v>33</v>
      </c>
      <c r="U842" s="31" t="s">
        <v>33</v>
      </c>
      <c r="V842" t="s">
        <v>33</v>
      </c>
      <c r="Y842" t="e">
        <f>VLOOKUP(A842,[2]!PRGX[[#All],[Proveedor]],1,FALSE)</f>
        <v>#REF!</v>
      </c>
    </row>
    <row r="843" spans="1:25" x14ac:dyDescent="0.25">
      <c r="A843" s="25">
        <v>41988</v>
      </c>
      <c r="B843" s="25" t="s">
        <v>868</v>
      </c>
      <c r="C843" s="26">
        <v>253</v>
      </c>
      <c r="D843" s="27">
        <v>47705827.799999997</v>
      </c>
      <c r="E843" s="27">
        <v>34656254.799999997</v>
      </c>
      <c r="F843" s="27">
        <v>13049573</v>
      </c>
      <c r="G843" s="27">
        <f>VLOOKUP(A843,'[1]saldos al 26May26'!$C$2:$I$1010,7,FALSE)</f>
        <v>-1931559.27</v>
      </c>
      <c r="H843" s="27"/>
      <c r="I843" s="28"/>
      <c r="J843" s="29">
        <v>156404.07852392949</v>
      </c>
      <c r="K843" s="25" t="s">
        <v>40</v>
      </c>
      <c r="L843" s="25" t="s">
        <v>30</v>
      </c>
      <c r="M843" s="25" t="s">
        <v>31</v>
      </c>
      <c r="N843" s="25" t="s">
        <v>51</v>
      </c>
      <c r="O843" t="s">
        <v>51</v>
      </c>
      <c r="P843" s="30">
        <v>0</v>
      </c>
      <c r="Q843" s="30">
        <v>0</v>
      </c>
      <c r="R843" s="30"/>
      <c r="S843" s="30" t="e">
        <v>#N/A</v>
      </c>
      <c r="T843" t="s">
        <v>34</v>
      </c>
      <c r="U843" s="31" t="e">
        <v>#N/A</v>
      </c>
      <c r="V843" t="s">
        <v>34</v>
      </c>
      <c r="Y843" t="e">
        <f>VLOOKUP(A843,[2]!PRGX[[#All],[Proveedor]],1,FALSE)</f>
        <v>#REF!</v>
      </c>
    </row>
    <row r="844" spans="1:25" x14ac:dyDescent="0.25">
      <c r="A844" s="25">
        <v>28407</v>
      </c>
      <c r="B844" s="25" t="s">
        <v>869</v>
      </c>
      <c r="C844" s="26">
        <v>1740</v>
      </c>
      <c r="D844" s="27">
        <v>47499478</v>
      </c>
      <c r="E844" s="27">
        <v>41473472</v>
      </c>
      <c r="F844" s="27">
        <v>6026006</v>
      </c>
      <c r="G844" s="27">
        <f>VLOOKUP(A844,'[1]saldos al 26May26'!$C$2:$I$1010,7,FALSE)</f>
        <v>-42658.38</v>
      </c>
      <c r="H844" s="27"/>
      <c r="I844" s="28"/>
      <c r="J844" s="29">
        <v>34156.706626865998</v>
      </c>
      <c r="K844" s="25" t="s">
        <v>40</v>
      </c>
      <c r="L844" s="25" t="s">
        <v>30</v>
      </c>
      <c r="M844" s="25" t="s">
        <v>55</v>
      </c>
      <c r="N844" s="25" t="s">
        <v>36</v>
      </c>
      <c r="O844" t="s">
        <v>36</v>
      </c>
      <c r="P844" s="30">
        <v>741529.25</v>
      </c>
      <c r="Q844" s="30">
        <v>862920</v>
      </c>
      <c r="R844" s="30"/>
      <c r="S844" s="30" t="e">
        <v>#N/A</v>
      </c>
      <c r="T844" t="s">
        <v>34</v>
      </c>
      <c r="U844" s="31">
        <v>0</v>
      </c>
      <c r="V844" t="s">
        <v>42</v>
      </c>
      <c r="Y844" t="e">
        <f>VLOOKUP(A844,[2]!PRGX[[#All],[Proveedor]],1,FALSE)</f>
        <v>#REF!</v>
      </c>
    </row>
    <row r="845" spans="1:25" x14ac:dyDescent="0.25">
      <c r="A845" s="25">
        <v>6470</v>
      </c>
      <c r="B845" s="25" t="s">
        <v>870</v>
      </c>
      <c r="C845" s="26">
        <v>7006</v>
      </c>
      <c r="D845" s="27">
        <v>47076169.572800003</v>
      </c>
      <c r="E845" s="27">
        <v>33670660.332800001</v>
      </c>
      <c r="F845" s="27">
        <v>13405509.24</v>
      </c>
      <c r="G845" s="27">
        <f>VLOOKUP(A845,'[1]saldos al 26May26'!$C$2:$I$1010,7,FALSE)</f>
        <v>-1631228.87</v>
      </c>
      <c r="H845" s="27"/>
      <c r="I845" s="28"/>
      <c r="J845" s="29">
        <v>432422.52120537247</v>
      </c>
      <c r="K845" s="25" t="s">
        <v>40</v>
      </c>
      <c r="L845" s="25" t="s">
        <v>30</v>
      </c>
      <c r="M845" s="25" t="s">
        <v>50</v>
      </c>
      <c r="N845" s="25" t="s">
        <v>41</v>
      </c>
      <c r="O845" t="s">
        <v>41</v>
      </c>
      <c r="P845" s="30">
        <v>2095879.9000000001</v>
      </c>
      <c r="Q845" s="30">
        <v>-3376.91</v>
      </c>
      <c r="R845" s="30">
        <v>176083.36</v>
      </c>
      <c r="S845" s="30" t="s">
        <v>63</v>
      </c>
      <c r="T845" s="57" t="s">
        <v>33</v>
      </c>
      <c r="U845" s="31" t="s">
        <v>33</v>
      </c>
      <c r="V845" t="s">
        <v>33</v>
      </c>
      <c r="Y845" t="e">
        <f>VLOOKUP(A845,[2]!PRGX[[#All],[Proveedor]],1,FALSE)</f>
        <v>#REF!</v>
      </c>
    </row>
    <row r="846" spans="1:25" x14ac:dyDescent="0.25">
      <c r="A846" s="25">
        <v>44768</v>
      </c>
      <c r="B846" s="25" t="s">
        <v>871</v>
      </c>
      <c r="C846" s="26">
        <v>5611</v>
      </c>
      <c r="D846" s="27">
        <v>46731070.5</v>
      </c>
      <c r="E846" s="27">
        <v>42038842.5</v>
      </c>
      <c r="F846" s="27">
        <v>4692228</v>
      </c>
      <c r="G846" s="27">
        <f>VLOOKUP(A846,'[1]saldos al 26May26'!$C$2:$I$1010,7,FALSE)</f>
        <v>-987281.26</v>
      </c>
      <c r="H846" s="27"/>
      <c r="I846" s="28"/>
      <c r="J846" s="29">
        <v>504786.67130370898</v>
      </c>
      <c r="K846" s="25" t="s">
        <v>40</v>
      </c>
      <c r="L846" s="25" t="s">
        <v>30</v>
      </c>
      <c r="M846" s="25" t="s">
        <v>50</v>
      </c>
      <c r="N846" s="25" t="s">
        <v>51</v>
      </c>
      <c r="O846" t="s">
        <v>51</v>
      </c>
      <c r="P846" s="30">
        <v>345515.28</v>
      </c>
      <c r="Q846" s="30">
        <v>0</v>
      </c>
      <c r="R846" s="30"/>
      <c r="S846" s="30" t="e">
        <v>#N/A</v>
      </c>
      <c r="T846" t="s">
        <v>34</v>
      </c>
      <c r="U846" s="31" t="e">
        <v>#N/A</v>
      </c>
      <c r="V846" t="s">
        <v>34</v>
      </c>
      <c r="Y846" t="e">
        <f>VLOOKUP(A846,[2]!PRGX[[#All],[Proveedor]],1,FALSE)</f>
        <v>#REF!</v>
      </c>
    </row>
    <row r="847" spans="1:25" x14ac:dyDescent="0.25">
      <c r="A847" s="25">
        <v>380832</v>
      </c>
      <c r="B847" s="25" t="s">
        <v>872</v>
      </c>
      <c r="C847" s="26">
        <v>91105</v>
      </c>
      <c r="D847" s="27">
        <v>315519459.68879998</v>
      </c>
      <c r="E847" s="27">
        <v>182645162.89479998</v>
      </c>
      <c r="F847" s="27">
        <v>132874296.794</v>
      </c>
      <c r="G847" s="27">
        <f>VLOOKUP(A847,'[1]saldos al 26May26'!$C$2:$I$1010,7,FALSE)</f>
        <v>-3384213.23</v>
      </c>
      <c r="H847" s="27"/>
      <c r="I847" s="28"/>
      <c r="J847" s="29"/>
      <c r="K847" s="25" t="s">
        <v>40</v>
      </c>
      <c r="L847" s="25" t="s">
        <v>30</v>
      </c>
      <c r="M847" s="25" t="s">
        <v>59</v>
      </c>
      <c r="N847" s="25" t="s">
        <v>56</v>
      </c>
      <c r="O847" t="s">
        <v>56</v>
      </c>
      <c r="P847" s="32">
        <v>-853083.00000000012</v>
      </c>
      <c r="Q847" s="30">
        <v>196645.78</v>
      </c>
      <c r="R847" s="30"/>
      <c r="S847" s="30" t="e">
        <v>#N/A</v>
      </c>
      <c r="T847" t="s">
        <v>34</v>
      </c>
      <c r="U847" s="31" t="e">
        <v>#N/A</v>
      </c>
      <c r="V847" t="s">
        <v>34</v>
      </c>
      <c r="Y847" t="e">
        <f>VLOOKUP(A847,[2]!PRGX[[#All],[Proveedor]],1,FALSE)</f>
        <v>#REF!</v>
      </c>
    </row>
    <row r="848" spans="1:25" x14ac:dyDescent="0.25">
      <c r="A848" s="25">
        <v>300426</v>
      </c>
      <c r="B848" s="25" t="s">
        <v>873</v>
      </c>
      <c r="C848" s="26">
        <v>36940</v>
      </c>
      <c r="D848" s="27">
        <v>307361853.23400003</v>
      </c>
      <c r="E848" s="27">
        <v>254925060.30400002</v>
      </c>
      <c r="F848" s="27">
        <v>52436792.93</v>
      </c>
      <c r="G848" s="27">
        <f>VLOOKUP(A848,'[1]saldos al 26May26'!$C$2:$I$1010,7,FALSE)</f>
        <v>-5379489.1900000004</v>
      </c>
      <c r="H848" s="27"/>
      <c r="I848" s="28"/>
      <c r="J848" s="29"/>
      <c r="K848" s="25" t="s">
        <v>29</v>
      </c>
      <c r="L848" s="25" t="s">
        <v>30</v>
      </c>
      <c r="M848" s="25" t="s">
        <v>50</v>
      </c>
      <c r="N848" s="25"/>
      <c r="O848" t="s">
        <v>56</v>
      </c>
      <c r="P848" s="30">
        <v>444404.57999999996</v>
      </c>
      <c r="Q848" s="30">
        <v>548791.11</v>
      </c>
      <c r="R848" s="30"/>
      <c r="S848" s="30" t="s">
        <v>33</v>
      </c>
      <c r="T848" t="s">
        <v>33</v>
      </c>
      <c r="U848" s="31" t="e">
        <v>#N/A</v>
      </c>
      <c r="V848" t="s">
        <v>34</v>
      </c>
      <c r="W848" s="42"/>
      <c r="Y848" t="e">
        <f>VLOOKUP(A848,[2]!PRGX[[#All],[Proveedor]],1,FALSE)</f>
        <v>#REF!</v>
      </c>
    </row>
    <row r="849" spans="1:26" s="42" customFormat="1" x14ac:dyDescent="0.25">
      <c r="A849" s="25">
        <v>11643</v>
      </c>
      <c r="B849" s="25" t="s">
        <v>874</v>
      </c>
      <c r="C849" s="26">
        <v>9919</v>
      </c>
      <c r="D849" s="27">
        <v>45854214.740000002</v>
      </c>
      <c r="E849" s="27">
        <v>39208304.579999998</v>
      </c>
      <c r="F849" s="27">
        <v>6645910.1600000001</v>
      </c>
      <c r="G849" s="27">
        <f>VLOOKUP(A849,'[1]saldos al 26May26'!$C$2:$I$1010,7,FALSE)</f>
        <v>-933492.44</v>
      </c>
      <c r="H849" s="27"/>
      <c r="I849" s="28"/>
      <c r="J849" s="29">
        <v>119177.7861036665</v>
      </c>
      <c r="K849" s="25" t="s">
        <v>40</v>
      </c>
      <c r="L849" s="25" t="s">
        <v>30</v>
      </c>
      <c r="M849" s="25" t="s">
        <v>31</v>
      </c>
      <c r="N849" s="25" t="s">
        <v>70</v>
      </c>
      <c r="O849" t="s">
        <v>70</v>
      </c>
      <c r="P849" s="32">
        <v>-3041.21</v>
      </c>
      <c r="Q849" s="30">
        <v>22207</v>
      </c>
      <c r="R849" s="30"/>
      <c r="S849" s="30" t="s">
        <v>33</v>
      </c>
      <c r="T849" s="57" t="s">
        <v>33</v>
      </c>
      <c r="U849" s="31" t="s">
        <v>33</v>
      </c>
      <c r="V849" t="s">
        <v>33</v>
      </c>
      <c r="W849"/>
      <c r="Y849" t="e">
        <f>VLOOKUP(A849,[2]!PRGX[[#All],[Proveedor]],1,FALSE)</f>
        <v>#REF!</v>
      </c>
      <c r="Z849"/>
    </row>
    <row r="850" spans="1:26" x14ac:dyDescent="0.25">
      <c r="A850" s="25">
        <v>377242</v>
      </c>
      <c r="B850" s="25" t="s">
        <v>875</v>
      </c>
      <c r="C850" s="26">
        <v>814</v>
      </c>
      <c r="D850" s="27">
        <v>45744717.079999998</v>
      </c>
      <c r="E850" s="27">
        <v>31293052.359999999</v>
      </c>
      <c r="F850" s="27">
        <v>14451664.720000001</v>
      </c>
      <c r="G850" s="27">
        <f>VLOOKUP(A850,'[1]saldos al 26May26'!$C$2:$I$1010,7,FALSE)</f>
        <v>-2528753.0099999998</v>
      </c>
      <c r="H850" s="27"/>
      <c r="I850" s="28"/>
      <c r="J850" s="29">
        <v>143578.26287614161</v>
      </c>
      <c r="K850" s="25" t="s">
        <v>40</v>
      </c>
      <c r="L850" s="25" t="s">
        <v>30</v>
      </c>
      <c r="M850" s="25" t="s">
        <v>31</v>
      </c>
      <c r="N850" s="25" t="s">
        <v>80</v>
      </c>
      <c r="O850" t="s">
        <v>80</v>
      </c>
      <c r="P850" s="30">
        <v>0</v>
      </c>
      <c r="Q850" s="30">
        <v>0</v>
      </c>
      <c r="R850" s="30"/>
      <c r="S850" s="30" t="s">
        <v>63</v>
      </c>
      <c r="T850" s="57" t="s">
        <v>33</v>
      </c>
      <c r="U850" s="31" t="s">
        <v>33</v>
      </c>
      <c r="V850" t="s">
        <v>33</v>
      </c>
      <c r="Y850" t="e">
        <f>VLOOKUP(A850,[2]!PRGX[[#All],[Proveedor]],1,FALSE)</f>
        <v>#REF!</v>
      </c>
    </row>
    <row r="851" spans="1:26" x14ac:dyDescent="0.25">
      <c r="A851" s="25">
        <v>22666</v>
      </c>
      <c r="B851" s="25" t="s">
        <v>876</v>
      </c>
      <c r="C851" s="26">
        <v>13467</v>
      </c>
      <c r="D851" s="27">
        <v>45703379.909999996</v>
      </c>
      <c r="E851" s="27">
        <v>32731580.639999997</v>
      </c>
      <c r="F851" s="27">
        <v>12971799.27</v>
      </c>
      <c r="G851" s="27">
        <f>VLOOKUP(A851,'[1]saldos al 26May26'!$C$2:$I$1010,7,FALSE)</f>
        <v>-765987.81</v>
      </c>
      <c r="H851" s="27"/>
      <c r="I851" s="28"/>
      <c r="J851" s="29">
        <v>469284.18479332823</v>
      </c>
      <c r="K851" s="25" t="s">
        <v>40</v>
      </c>
      <c r="L851" s="25" t="s">
        <v>30</v>
      </c>
      <c r="M851" s="25" t="s">
        <v>50</v>
      </c>
      <c r="N851" s="25" t="s">
        <v>38</v>
      </c>
      <c r="O851" t="s">
        <v>38</v>
      </c>
      <c r="P851" s="32">
        <v>-173036.86000000002</v>
      </c>
      <c r="Q851" s="30">
        <v>55793.31</v>
      </c>
      <c r="R851" s="30"/>
      <c r="S851" s="30" t="s">
        <v>63</v>
      </c>
      <c r="T851" s="57" t="s">
        <v>33</v>
      </c>
      <c r="U851" s="31" t="s">
        <v>33</v>
      </c>
      <c r="V851" t="s">
        <v>33</v>
      </c>
      <c r="Y851" t="e">
        <f>VLOOKUP(A851,[2]!PRGX[[#All],[Proveedor]],1,FALSE)</f>
        <v>#REF!</v>
      </c>
    </row>
    <row r="852" spans="1:26" x14ac:dyDescent="0.25">
      <c r="A852" s="25">
        <v>342899</v>
      </c>
      <c r="B852" s="25" t="s">
        <v>877</v>
      </c>
      <c r="C852" s="26">
        <v>44476</v>
      </c>
      <c r="D852" s="27">
        <v>307210681.704</v>
      </c>
      <c r="E852" s="27">
        <v>242706129.21899998</v>
      </c>
      <c r="F852" s="27">
        <v>64504552.484999999</v>
      </c>
      <c r="G852" s="27">
        <f>VLOOKUP(A852,'[1]saldos al 26May26'!$C$2:$I$1010,7,FALSE)</f>
        <v>-4613700.38</v>
      </c>
      <c r="H852" s="27"/>
      <c r="I852" s="28"/>
      <c r="J852" s="29"/>
      <c r="K852" s="25" t="s">
        <v>29</v>
      </c>
      <c r="L852" s="25" t="s">
        <v>30</v>
      </c>
      <c r="M852" s="25" t="s">
        <v>55</v>
      </c>
      <c r="N852" s="25"/>
      <c r="O852" t="s">
        <v>56</v>
      </c>
      <c r="P852" s="32">
        <v>-8415.2900000000009</v>
      </c>
      <c r="Q852" s="30">
        <v>56169.17</v>
      </c>
      <c r="R852" s="30">
        <v>300000</v>
      </c>
      <c r="S852" s="30" t="s">
        <v>63</v>
      </c>
      <c r="T852" t="s">
        <v>33</v>
      </c>
      <c r="U852" s="31" t="e">
        <v>#N/A</v>
      </c>
      <c r="V852" t="s">
        <v>34</v>
      </c>
      <c r="Y852" t="e">
        <f>VLOOKUP(A852,[2]!PRGX[[#All],[Proveedor]],1,FALSE)</f>
        <v>#REF!</v>
      </c>
    </row>
    <row r="853" spans="1:26" x14ac:dyDescent="0.25">
      <c r="A853" s="25">
        <v>323303</v>
      </c>
      <c r="B853" s="25" t="s">
        <v>878</v>
      </c>
      <c r="C853" s="26">
        <v>1388</v>
      </c>
      <c r="D853" s="27">
        <v>45497803.829999998</v>
      </c>
      <c r="E853" s="27">
        <v>34282349.599999994</v>
      </c>
      <c r="F853" s="27">
        <v>11215454.23</v>
      </c>
      <c r="G853" s="27">
        <f>VLOOKUP(A853,'[1]saldos al 26May26'!$C$2:$I$1010,7,FALSE)</f>
        <v>-6983231.9000000004</v>
      </c>
      <c r="H853" s="27"/>
      <c r="I853" s="28"/>
      <c r="J853" s="29">
        <v>203394.1559026645</v>
      </c>
      <c r="K853" s="25" t="s">
        <v>40</v>
      </c>
      <c r="L853" s="25" t="s">
        <v>30</v>
      </c>
      <c r="M853" s="25" t="s">
        <v>31</v>
      </c>
      <c r="N853" s="25" t="s">
        <v>41</v>
      </c>
      <c r="O853" t="s">
        <v>41</v>
      </c>
      <c r="P853" s="32">
        <v>-30941.79</v>
      </c>
      <c r="Q853" s="30">
        <v>0</v>
      </c>
      <c r="R853" s="30"/>
      <c r="S853" s="30" t="s">
        <v>63</v>
      </c>
      <c r="T853" s="57" t="s">
        <v>33</v>
      </c>
      <c r="U853" s="31" t="s">
        <v>33</v>
      </c>
      <c r="V853" t="s">
        <v>33</v>
      </c>
      <c r="Y853" t="e">
        <f>VLOOKUP(A853,[2]!PRGX[[#All],[Proveedor]],1,FALSE)</f>
        <v>#REF!</v>
      </c>
    </row>
    <row r="854" spans="1:26" x14ac:dyDescent="0.25">
      <c r="A854" s="25">
        <v>308715</v>
      </c>
      <c r="B854" s="25" t="s">
        <v>879</v>
      </c>
      <c r="C854" s="26">
        <v>1298</v>
      </c>
      <c r="D854" s="27">
        <v>45216845.280000001</v>
      </c>
      <c r="E854" s="27">
        <v>38039135.280000001</v>
      </c>
      <c r="F854" s="27">
        <v>7177710</v>
      </c>
      <c r="G854" s="27">
        <f>VLOOKUP(A854,'[1]saldos al 26May26'!$C$2:$I$1010,7,FALSE)</f>
        <v>-1393647.28</v>
      </c>
      <c r="H854" s="27"/>
      <c r="I854" s="28"/>
      <c r="J854" s="29">
        <v>131316.17392703402</v>
      </c>
      <c r="K854" s="25" t="s">
        <v>40</v>
      </c>
      <c r="L854" s="25" t="s">
        <v>30</v>
      </c>
      <c r="M854" s="25" t="s">
        <v>31</v>
      </c>
      <c r="N854" s="25" t="s">
        <v>32</v>
      </c>
      <c r="O854" t="s">
        <v>32</v>
      </c>
      <c r="P854" s="32">
        <v>-18468</v>
      </c>
      <c r="Q854" s="30">
        <v>0</v>
      </c>
      <c r="R854" s="30"/>
      <c r="S854" s="30" t="e">
        <v>#N/A</v>
      </c>
      <c r="T854" t="s">
        <v>34</v>
      </c>
      <c r="U854" s="31" t="e">
        <v>#N/A</v>
      </c>
      <c r="V854" t="s">
        <v>34</v>
      </c>
      <c r="Y854" t="e">
        <f>VLOOKUP(A854,[2]!PRGX[[#All],[Proveedor]],1,FALSE)</f>
        <v>#REF!</v>
      </c>
    </row>
    <row r="855" spans="1:26" x14ac:dyDescent="0.25">
      <c r="A855" s="25">
        <v>22887</v>
      </c>
      <c r="B855" s="25" t="s">
        <v>247</v>
      </c>
      <c r="C855" s="26">
        <v>1665</v>
      </c>
      <c r="D855" s="27">
        <v>44991999.07</v>
      </c>
      <c r="E855" s="27">
        <v>44354818.869999997</v>
      </c>
      <c r="F855" s="27">
        <v>637180.19999999995</v>
      </c>
      <c r="G855" s="27">
        <f>VLOOKUP(A855,'[1]saldos al 26May26'!$C$2:$I$1010,7,FALSE)</f>
        <v>-51269.62</v>
      </c>
      <c r="H855" s="27"/>
      <c r="I855" s="28"/>
      <c r="J855" s="29"/>
      <c r="K855" s="25" t="s">
        <v>29</v>
      </c>
      <c r="L855" s="25" t="s">
        <v>30</v>
      </c>
      <c r="M855" s="25" t="s">
        <v>31</v>
      </c>
      <c r="N855" s="25"/>
      <c r="O855" t="s">
        <v>47</v>
      </c>
      <c r="P855" s="32">
        <v>-147757.32</v>
      </c>
      <c r="Q855" s="30">
        <v>222921.72</v>
      </c>
      <c r="R855" s="30"/>
      <c r="S855" s="30" t="s">
        <v>33</v>
      </c>
      <c r="T855" t="s">
        <v>33</v>
      </c>
      <c r="U855" s="31" t="e">
        <v>#N/A</v>
      </c>
      <c r="V855" t="s">
        <v>34</v>
      </c>
      <c r="Y855" t="e">
        <f>VLOOKUP(A855,[2]!PRGX[[#All],[Proveedor]],1,FALSE)</f>
        <v>#REF!</v>
      </c>
    </row>
    <row r="856" spans="1:26" x14ac:dyDescent="0.25">
      <c r="A856" s="25">
        <v>2861</v>
      </c>
      <c r="B856" s="25" t="s">
        <v>880</v>
      </c>
      <c r="C856" s="26">
        <v>24181</v>
      </c>
      <c r="D856" s="27">
        <v>44560817.726199999</v>
      </c>
      <c r="E856" s="27">
        <v>37529954.326200001</v>
      </c>
      <c r="F856" s="27">
        <v>7030863.4000000004</v>
      </c>
      <c r="G856" s="27">
        <f>VLOOKUP(A856,'[1]saldos al 26May26'!$C$2:$I$1010,7,FALSE)</f>
        <v>-260660.9</v>
      </c>
      <c r="H856" s="27"/>
      <c r="I856" s="28"/>
      <c r="J856" s="29">
        <v>2576734.1857789014</v>
      </c>
      <c r="K856" s="25" t="s">
        <v>29</v>
      </c>
      <c r="L856" s="25" t="s">
        <v>30</v>
      </c>
      <c r="M856" s="25" t="s">
        <v>59</v>
      </c>
      <c r="N856" s="25" t="s">
        <v>67</v>
      </c>
      <c r="O856" t="s">
        <v>67</v>
      </c>
      <c r="P856" s="32">
        <v>-17396.36</v>
      </c>
      <c r="Q856" s="30">
        <v>6008.3</v>
      </c>
      <c r="R856" s="30"/>
      <c r="S856" s="30" t="s">
        <v>63</v>
      </c>
      <c r="T856" t="s">
        <v>33</v>
      </c>
      <c r="U856" s="31" t="e">
        <v>#N/A</v>
      </c>
      <c r="V856" t="s">
        <v>34</v>
      </c>
      <c r="Y856" t="e">
        <f>VLOOKUP(A856,[2]!PRGX[[#All],[Proveedor]],1,FALSE)</f>
        <v>#REF!</v>
      </c>
    </row>
    <row r="857" spans="1:26" x14ac:dyDescent="0.25">
      <c r="A857" s="25">
        <v>23950</v>
      </c>
      <c r="B857" s="25" t="s">
        <v>881</v>
      </c>
      <c r="C857" s="26">
        <v>6989</v>
      </c>
      <c r="D857" s="27">
        <v>44169831.630000003</v>
      </c>
      <c r="E857" s="27">
        <v>31353456.720000003</v>
      </c>
      <c r="F857" s="27">
        <v>12816374.91</v>
      </c>
      <c r="G857" s="27">
        <f>VLOOKUP(A857,'[1]saldos al 26May26'!$C$2:$I$1010,7,FALSE)</f>
        <v>-877372.62</v>
      </c>
      <c r="H857" s="27"/>
      <c r="I857" s="28"/>
      <c r="J857" s="29">
        <v>216573.10602087301</v>
      </c>
      <c r="K857" s="25" t="s">
        <v>40</v>
      </c>
      <c r="L857" s="25" t="s">
        <v>30</v>
      </c>
      <c r="M857" s="25" t="s">
        <v>31</v>
      </c>
      <c r="N857" s="25" t="s">
        <v>47</v>
      </c>
      <c r="O857" t="s">
        <v>47</v>
      </c>
      <c r="P857" s="32">
        <v>-77650.790000000008</v>
      </c>
      <c r="Q857" s="30">
        <v>0</v>
      </c>
      <c r="R857" s="30"/>
      <c r="S857" s="30" t="e">
        <v>#N/A</v>
      </c>
      <c r="T857" t="s">
        <v>34</v>
      </c>
      <c r="U857" s="31" t="e">
        <v>#N/A</v>
      </c>
      <c r="V857" t="s">
        <v>34</v>
      </c>
      <c r="Y857" t="e">
        <f>VLOOKUP(A857,[2]!PRGX[[#All],[Proveedor]],1,FALSE)</f>
        <v>#REF!</v>
      </c>
    </row>
    <row r="858" spans="1:26" x14ac:dyDescent="0.25">
      <c r="A858" s="25">
        <v>93120</v>
      </c>
      <c r="B858" s="25" t="s">
        <v>882</v>
      </c>
      <c r="C858" s="26">
        <v>1657</v>
      </c>
      <c r="D858" s="27">
        <v>44089073.899999999</v>
      </c>
      <c r="E858" s="27">
        <v>38318002</v>
      </c>
      <c r="F858" s="27">
        <v>5771071.9000000004</v>
      </c>
      <c r="G858" s="27">
        <f>VLOOKUP(A858,'[1]saldos al 26May26'!$C$2:$I$1010,7,FALSE)</f>
        <v>-1559874.3</v>
      </c>
      <c r="H858" s="27"/>
      <c r="I858" s="28"/>
      <c r="J858" s="29">
        <v>43912.784434358495</v>
      </c>
      <c r="K858" s="25" t="s">
        <v>40</v>
      </c>
      <c r="L858" s="25" t="s">
        <v>30</v>
      </c>
      <c r="M858" s="25" t="s">
        <v>55</v>
      </c>
      <c r="N858" s="25" t="s">
        <v>67</v>
      </c>
      <c r="O858" t="s">
        <v>67</v>
      </c>
      <c r="P858" s="32">
        <v>-1659.1100000000001</v>
      </c>
      <c r="Q858" s="30">
        <v>0</v>
      </c>
      <c r="R858" s="30"/>
      <c r="S858" s="30" t="e">
        <v>#N/A</v>
      </c>
      <c r="T858" t="s">
        <v>34</v>
      </c>
      <c r="U858" s="31" t="e">
        <v>#N/A</v>
      </c>
      <c r="V858" t="s">
        <v>34</v>
      </c>
      <c r="Y858" t="e">
        <f>VLOOKUP(A858,[2]!PRGX[[#All],[Proveedor]],1,FALSE)</f>
        <v>#REF!</v>
      </c>
    </row>
    <row r="859" spans="1:26" x14ac:dyDescent="0.25">
      <c r="A859" s="25">
        <v>305638</v>
      </c>
      <c r="B859" s="25" t="s">
        <v>883</v>
      </c>
      <c r="C859" s="26">
        <v>17953</v>
      </c>
      <c r="D859" s="27">
        <v>43788097.007700004</v>
      </c>
      <c r="E859" s="27">
        <v>28678256.570000004</v>
      </c>
      <c r="F859" s="27">
        <v>15109840.4377</v>
      </c>
      <c r="G859" s="27">
        <f>VLOOKUP(A859,'[1]saldos al 26May26'!$C$2:$I$1010,7,FALSE)</f>
        <v>-1405591.89</v>
      </c>
      <c r="H859" s="27"/>
      <c r="I859" s="28"/>
      <c r="J859" s="29">
        <v>105414.2841126</v>
      </c>
      <c r="K859" s="25" t="s">
        <v>40</v>
      </c>
      <c r="L859" s="25" t="s">
        <v>30</v>
      </c>
      <c r="M859" s="25" t="s">
        <v>31</v>
      </c>
      <c r="N859" s="25" t="s">
        <v>32</v>
      </c>
      <c r="O859" t="s">
        <v>32</v>
      </c>
      <c r="P859" s="32">
        <v>-21157.66</v>
      </c>
      <c r="Q859" s="30">
        <v>0</v>
      </c>
      <c r="R859" s="30"/>
      <c r="S859" s="30" t="e">
        <v>#N/A</v>
      </c>
      <c r="T859" t="s">
        <v>34</v>
      </c>
      <c r="U859" s="31" t="e">
        <v>#N/A</v>
      </c>
      <c r="V859" t="s">
        <v>34</v>
      </c>
      <c r="Y859" t="e">
        <f>VLOOKUP(A859,[2]!PRGX[[#All],[Proveedor]],1,FALSE)</f>
        <v>#REF!</v>
      </c>
    </row>
    <row r="860" spans="1:26" x14ac:dyDescent="0.25">
      <c r="A860" s="25">
        <v>329680</v>
      </c>
      <c r="B860" s="25" t="s">
        <v>884</v>
      </c>
      <c r="C860" s="26">
        <v>7070</v>
      </c>
      <c r="D860" s="27">
        <v>43259806.509999998</v>
      </c>
      <c r="E860" s="27">
        <v>42013574.799999997</v>
      </c>
      <c r="F860" s="27">
        <v>1246231.71</v>
      </c>
      <c r="G860" s="27">
        <f>VLOOKUP(A860,'[1]saldos al 26May26'!$C$2:$I$1010,7,FALSE)</f>
        <v>-391086.8</v>
      </c>
      <c r="H860" s="27"/>
      <c r="I860" s="28"/>
      <c r="J860" s="29">
        <v>50367.218083458698</v>
      </c>
      <c r="K860" s="25" t="s">
        <v>40</v>
      </c>
      <c r="L860" s="25" t="s">
        <v>30</v>
      </c>
      <c r="M860" s="25" t="s">
        <v>55</v>
      </c>
      <c r="N860" s="25" t="s">
        <v>38</v>
      </c>
      <c r="O860" t="s">
        <v>38</v>
      </c>
      <c r="P860" s="30">
        <v>1880717.54</v>
      </c>
      <c r="Q860" s="30">
        <v>2279506.27</v>
      </c>
      <c r="R860" s="30"/>
      <c r="S860" s="30" t="s">
        <v>63</v>
      </c>
      <c r="T860" s="57" t="s">
        <v>33</v>
      </c>
      <c r="U860" s="31" t="s">
        <v>33</v>
      </c>
      <c r="V860" t="s">
        <v>33</v>
      </c>
      <c r="Y860" t="e">
        <f>VLOOKUP(A860,[2]!PRGX[[#All],[Proveedor]],1,FALSE)</f>
        <v>#REF!</v>
      </c>
    </row>
    <row r="861" spans="1:26" x14ac:dyDescent="0.25">
      <c r="A861" s="25">
        <v>306910</v>
      </c>
      <c r="B861" s="25" t="s">
        <v>885</v>
      </c>
      <c r="C861" s="26">
        <v>51265</v>
      </c>
      <c r="D861" s="27">
        <v>233765430</v>
      </c>
      <c r="E861" s="27">
        <v>171310433.02000001</v>
      </c>
      <c r="F861" s="27">
        <v>62454996.979999997</v>
      </c>
      <c r="G861" s="27">
        <f>VLOOKUP(A861,'[1]saldos al 26May26'!$C$2:$I$1010,7,FALSE)</f>
        <v>-1892484.48</v>
      </c>
      <c r="H861" s="27"/>
      <c r="I861" s="28"/>
      <c r="J861" s="29"/>
      <c r="K861" s="25" t="s">
        <v>40</v>
      </c>
      <c r="L861" s="25" t="s">
        <v>30</v>
      </c>
      <c r="M861" s="25" t="s">
        <v>55</v>
      </c>
      <c r="N861" s="25" t="s">
        <v>56</v>
      </c>
      <c r="O861" t="s">
        <v>56</v>
      </c>
      <c r="P861" s="32">
        <v>-854550.80999999994</v>
      </c>
      <c r="Q861" s="30">
        <v>130640.5</v>
      </c>
      <c r="R861" s="30"/>
      <c r="S861" s="30" t="e">
        <v>#N/A</v>
      </c>
      <c r="T861" t="s">
        <v>34</v>
      </c>
      <c r="U861" s="31" t="e">
        <v>#N/A</v>
      </c>
      <c r="V861" t="s">
        <v>34</v>
      </c>
      <c r="Y861" t="e">
        <f>VLOOKUP(A861,[2]!PRGX[[#All],[Proveedor]],1,FALSE)</f>
        <v>#REF!</v>
      </c>
    </row>
    <row r="862" spans="1:26" x14ac:dyDescent="0.25">
      <c r="A862" s="25">
        <v>4502</v>
      </c>
      <c r="B862" s="25" t="s">
        <v>886</v>
      </c>
      <c r="C862" s="26">
        <v>1049</v>
      </c>
      <c r="D862" s="27">
        <v>42368032.759999998</v>
      </c>
      <c r="E862" s="27">
        <v>31166634.479999997</v>
      </c>
      <c r="F862" s="27">
        <v>11201398.279999999</v>
      </c>
      <c r="G862" s="27">
        <f>VLOOKUP(A862,'[1]saldos al 26May26'!$C$2:$I$1010,7,FALSE)</f>
        <v>-1367994.5</v>
      </c>
      <c r="H862" s="27"/>
      <c r="I862" s="28"/>
      <c r="J862" s="29">
        <v>387964.12463379162</v>
      </c>
      <c r="K862" s="25" t="s">
        <v>40</v>
      </c>
      <c r="L862" s="25" t="s">
        <v>30</v>
      </c>
      <c r="M862" s="25" t="s">
        <v>50</v>
      </c>
      <c r="N862" s="25" t="s">
        <v>70</v>
      </c>
      <c r="O862" t="s">
        <v>70</v>
      </c>
      <c r="P862" s="32">
        <v>-538749.92000000004</v>
      </c>
      <c r="Q862" s="30">
        <v>0</v>
      </c>
      <c r="R862" s="30"/>
      <c r="S862" s="30" t="s">
        <v>63</v>
      </c>
      <c r="T862" t="s">
        <v>33</v>
      </c>
      <c r="U862" s="31" t="s">
        <v>33</v>
      </c>
      <c r="V862" t="s">
        <v>33</v>
      </c>
      <c r="Y862" t="e">
        <f>VLOOKUP(A862,[2]!PRGX[[#All],[Proveedor]],1,FALSE)</f>
        <v>#REF!</v>
      </c>
    </row>
    <row r="863" spans="1:26" x14ac:dyDescent="0.25">
      <c r="A863" s="25">
        <v>28779</v>
      </c>
      <c r="B863" s="25" t="s">
        <v>887</v>
      </c>
      <c r="C863" s="26">
        <v>1968</v>
      </c>
      <c r="D863" s="27">
        <v>40980252</v>
      </c>
      <c r="E863" s="27">
        <v>34416984</v>
      </c>
      <c r="F863" s="27">
        <v>6563268</v>
      </c>
      <c r="G863" s="27">
        <f>VLOOKUP(A863,'[1]saldos al 26May26'!$C$2:$I$1010,7,FALSE)</f>
        <v>-1135468.21</v>
      </c>
      <c r="H863" s="27"/>
      <c r="I863" s="28"/>
      <c r="J863" s="29">
        <v>77705.842941502488</v>
      </c>
      <c r="K863" s="25" t="s">
        <v>40</v>
      </c>
      <c r="L863" s="25" t="s">
        <v>30</v>
      </c>
      <c r="M863" s="25" t="s">
        <v>31</v>
      </c>
      <c r="N863" s="25" t="s">
        <v>67</v>
      </c>
      <c r="O863" t="s">
        <v>67</v>
      </c>
      <c r="P863" s="30">
        <v>0</v>
      </c>
      <c r="Q863" s="30">
        <v>0</v>
      </c>
      <c r="R863" s="30"/>
      <c r="S863" s="30" t="e">
        <v>#N/A</v>
      </c>
      <c r="T863" t="s">
        <v>34</v>
      </c>
      <c r="U863" s="31" t="e">
        <v>#N/A</v>
      </c>
      <c r="V863" t="s">
        <v>34</v>
      </c>
      <c r="Y863" t="e">
        <f>VLOOKUP(A863,[2]!PRGX[[#All],[Proveedor]],1,FALSE)</f>
        <v>#REF!</v>
      </c>
    </row>
    <row r="864" spans="1:26" x14ac:dyDescent="0.25">
      <c r="A864" s="52">
        <v>24622</v>
      </c>
      <c r="B864" s="52" t="s">
        <v>888</v>
      </c>
      <c r="C864" s="53">
        <v>438</v>
      </c>
      <c r="D864" s="54">
        <v>40775819.399999999</v>
      </c>
      <c r="E864" s="54">
        <v>30071172.009999998</v>
      </c>
      <c r="F864" s="54">
        <v>10704647.390000001</v>
      </c>
      <c r="G864" s="54">
        <f>VLOOKUP(A864,'[1]saldos al 26May26'!$C$2:$I$1010,7,FALSE)</f>
        <v>-3931904.55</v>
      </c>
      <c r="H864" s="54"/>
      <c r="I864" s="55"/>
      <c r="J864" s="56">
        <v>468059.50078142091</v>
      </c>
      <c r="K864" s="52" t="s">
        <v>40</v>
      </c>
      <c r="L864" s="52" t="s">
        <v>30</v>
      </c>
      <c r="M864" s="52" t="s">
        <v>50</v>
      </c>
      <c r="N864" s="52" t="s">
        <v>47</v>
      </c>
      <c r="O864" s="57" t="s">
        <v>47</v>
      </c>
      <c r="P864" s="59">
        <v>-208838.52</v>
      </c>
      <c r="Q864" s="58">
        <v>0</v>
      </c>
      <c r="R864" s="30"/>
      <c r="S864" s="30" t="e">
        <v>#N/A</v>
      </c>
      <c r="T864" s="57" t="s">
        <v>34</v>
      </c>
      <c r="U864" s="31" t="e">
        <v>#N/A</v>
      </c>
      <c r="V864" s="57" t="s">
        <v>34</v>
      </c>
      <c r="X864" t="s">
        <v>43</v>
      </c>
      <c r="Y864" t="e">
        <f>VLOOKUP(A864,[2]!PRGX[[#All],[Proveedor]],1,FALSE)</f>
        <v>#REF!</v>
      </c>
    </row>
    <row r="865" spans="1:26" x14ac:dyDescent="0.25">
      <c r="A865" s="52">
        <v>25237</v>
      </c>
      <c r="B865" s="52" t="s">
        <v>889</v>
      </c>
      <c r="C865" s="53">
        <v>5740</v>
      </c>
      <c r="D865" s="54">
        <v>40342120.380000003</v>
      </c>
      <c r="E865" s="27">
        <v>12646337.460000001</v>
      </c>
      <c r="F865" s="27">
        <v>27695782.920000002</v>
      </c>
      <c r="G865" s="54">
        <f>VLOOKUP(A865,'[1]saldos al 26May26'!$C$2:$I$1010,7,FALSE)</f>
        <v>-2030639.89</v>
      </c>
      <c r="H865" s="54"/>
      <c r="I865" s="55"/>
      <c r="J865" s="56">
        <v>1031796.9414280819</v>
      </c>
      <c r="K865" s="52" t="s">
        <v>40</v>
      </c>
      <c r="L865" s="52" t="s">
        <v>30</v>
      </c>
      <c r="M865" s="52" t="s">
        <v>59</v>
      </c>
      <c r="N865" s="52" t="s">
        <v>51</v>
      </c>
      <c r="O865" s="57" t="s">
        <v>51</v>
      </c>
      <c r="P865" s="59">
        <v>-68990.19</v>
      </c>
      <c r="Q865" s="58">
        <v>0</v>
      </c>
      <c r="R865" s="30">
        <v>975007.9</v>
      </c>
      <c r="S865" s="30" t="s">
        <v>63</v>
      </c>
      <c r="T865" s="57" t="s">
        <v>33</v>
      </c>
      <c r="U865" s="31" t="s">
        <v>33</v>
      </c>
      <c r="V865" t="s">
        <v>33</v>
      </c>
      <c r="Y865" t="e">
        <f>VLOOKUP(A865,[2]!PRGX[[#All],[Proveedor]],1,FALSE)</f>
        <v>#REF!</v>
      </c>
    </row>
    <row r="866" spans="1:26" x14ac:dyDescent="0.25">
      <c r="A866" s="25">
        <v>14951</v>
      </c>
      <c r="B866" s="25" t="s">
        <v>890</v>
      </c>
      <c r="C866" s="26">
        <v>729</v>
      </c>
      <c r="D866" s="27">
        <v>40269328.460000001</v>
      </c>
      <c r="E866" s="27">
        <v>35790306.859999999</v>
      </c>
      <c r="F866" s="27">
        <v>4479021.5999999996</v>
      </c>
      <c r="G866" s="27">
        <f>VLOOKUP(A866,'[1]saldos al 26May26'!$C$2:$I$1010,7,FALSE)</f>
        <v>-485614.28</v>
      </c>
      <c r="H866" s="27"/>
      <c r="I866" s="28"/>
      <c r="J866" s="29">
        <v>290952.74</v>
      </c>
      <c r="K866" s="25" t="s">
        <v>40</v>
      </c>
      <c r="L866" s="25" t="s">
        <v>30</v>
      </c>
      <c r="M866" s="25" t="s">
        <v>31</v>
      </c>
      <c r="N866" s="25" t="s">
        <v>36</v>
      </c>
      <c r="O866" t="s">
        <v>36</v>
      </c>
      <c r="P866" s="30">
        <v>24489.730000000003</v>
      </c>
      <c r="Q866" s="30">
        <v>69225.83</v>
      </c>
      <c r="R866" s="30"/>
      <c r="S866" s="30">
        <v>0</v>
      </c>
      <c r="T866" t="s">
        <v>34</v>
      </c>
      <c r="U866" s="31" t="s">
        <v>33</v>
      </c>
      <c r="V866" t="s">
        <v>33</v>
      </c>
      <c r="Y866" t="e">
        <f>VLOOKUP(A866,[2]!PRGX[[#All],[Proveedor]],1,FALSE)</f>
        <v>#REF!</v>
      </c>
    </row>
    <row r="867" spans="1:26" x14ac:dyDescent="0.25">
      <c r="A867" s="25">
        <v>12701</v>
      </c>
      <c r="B867" s="25" t="s">
        <v>891</v>
      </c>
      <c r="C867" s="26">
        <v>7453</v>
      </c>
      <c r="D867" s="27">
        <v>39795331.799999997</v>
      </c>
      <c r="E867" s="27">
        <v>33488521.799999997</v>
      </c>
      <c r="F867" s="27">
        <v>6306810</v>
      </c>
      <c r="G867" s="27">
        <f>VLOOKUP(A867,'[1]saldos al 26May26'!$C$2:$I$1010,7,FALSE)</f>
        <v>-1196543.8899999999</v>
      </c>
      <c r="H867" s="27"/>
      <c r="I867" s="28"/>
      <c r="J867" s="29">
        <v>46890.670946681006</v>
      </c>
      <c r="K867" s="25" t="s">
        <v>40</v>
      </c>
      <c r="L867" s="25" t="s">
        <v>30</v>
      </c>
      <c r="M867" s="25" t="s">
        <v>55</v>
      </c>
      <c r="N867" s="25" t="s">
        <v>80</v>
      </c>
      <c r="O867" t="s">
        <v>80</v>
      </c>
      <c r="P867" s="30">
        <v>0</v>
      </c>
      <c r="Q867" s="30">
        <v>9750</v>
      </c>
      <c r="R867" s="30"/>
      <c r="S867" s="30" t="e">
        <v>#N/A</v>
      </c>
      <c r="T867" t="s">
        <v>34</v>
      </c>
      <c r="U867" s="31" t="e">
        <v>#N/A</v>
      </c>
      <c r="V867" t="s">
        <v>34</v>
      </c>
      <c r="Y867" t="e">
        <f>VLOOKUP(A867,[2]!PRGX[[#All],[Proveedor]],1,FALSE)</f>
        <v>#REF!</v>
      </c>
    </row>
    <row r="868" spans="1:26" x14ac:dyDescent="0.25">
      <c r="A868" s="25">
        <v>23673</v>
      </c>
      <c r="B868" s="25" t="s">
        <v>892</v>
      </c>
      <c r="C868" s="26">
        <v>2640</v>
      </c>
      <c r="D868" s="27">
        <v>39747976.979999997</v>
      </c>
      <c r="E868" s="27">
        <v>31845376.329999998</v>
      </c>
      <c r="F868" s="27">
        <v>7902600.6500000004</v>
      </c>
      <c r="G868" s="27">
        <f>VLOOKUP(A868,'[1]saldos al 26May26'!$C$2:$I$1010,7,FALSE)</f>
        <v>-1911887.51</v>
      </c>
      <c r="H868" s="27"/>
      <c r="I868" s="28"/>
      <c r="J868" s="29">
        <v>379384.52330176596</v>
      </c>
      <c r="K868" s="25" t="s">
        <v>40</v>
      </c>
      <c r="L868" s="25" t="s">
        <v>30</v>
      </c>
      <c r="M868" s="25" t="s">
        <v>59</v>
      </c>
      <c r="N868" s="25" t="s">
        <v>70</v>
      </c>
      <c r="O868" t="s">
        <v>70</v>
      </c>
      <c r="P868" s="32">
        <v>-126352.74</v>
      </c>
      <c r="Q868" s="30">
        <v>0</v>
      </c>
      <c r="R868" s="30"/>
      <c r="S868" s="30" t="s">
        <v>63</v>
      </c>
      <c r="T868" t="s">
        <v>33</v>
      </c>
      <c r="U868" s="31" t="s">
        <v>33</v>
      </c>
      <c r="V868" t="s">
        <v>33</v>
      </c>
      <c r="Y868" t="e">
        <f>VLOOKUP(A868,[2]!PRGX[[#All],[Proveedor]],1,FALSE)</f>
        <v>#REF!</v>
      </c>
    </row>
    <row r="869" spans="1:26" x14ac:dyDescent="0.25">
      <c r="A869" s="25">
        <v>23652</v>
      </c>
      <c r="B869" s="25" t="s">
        <v>893</v>
      </c>
      <c r="C869" s="26">
        <v>3246</v>
      </c>
      <c r="D869" s="27">
        <v>38964317.25</v>
      </c>
      <c r="E869" s="27">
        <v>32492861.75</v>
      </c>
      <c r="F869" s="27">
        <v>6471455.5</v>
      </c>
      <c r="G869" s="27">
        <f>VLOOKUP(A869,'[1]saldos al 26May26'!$C$2:$I$1010,7,FALSE)</f>
        <v>-1104305.32</v>
      </c>
      <c r="H869" s="27"/>
      <c r="I869" s="28"/>
      <c r="J869" s="29">
        <v>334997.24403011496</v>
      </c>
      <c r="K869" s="25" t="s">
        <v>40</v>
      </c>
      <c r="L869" s="25" t="s">
        <v>30</v>
      </c>
      <c r="M869" s="25" t="s">
        <v>31</v>
      </c>
      <c r="N869" s="25" t="s">
        <v>45</v>
      </c>
      <c r="O869" t="s">
        <v>45</v>
      </c>
      <c r="P869" s="32">
        <v>-383995.66</v>
      </c>
      <c r="Q869" s="30">
        <v>0</v>
      </c>
      <c r="R869" s="30">
        <v>1295593.02</v>
      </c>
      <c r="S869" s="30" t="e">
        <v>#N/A</v>
      </c>
      <c r="T869" t="s">
        <v>34</v>
      </c>
      <c r="U869" s="31" t="e">
        <v>#N/A</v>
      </c>
      <c r="V869" t="s">
        <v>34</v>
      </c>
      <c r="Y869" t="e">
        <f>VLOOKUP(A869,[2]!PRGX[[#All],[Proveedor]],1,FALSE)</f>
        <v>#REF!</v>
      </c>
    </row>
    <row r="870" spans="1:26" s="42" customFormat="1" x14ac:dyDescent="0.25">
      <c r="A870" s="25">
        <v>30494</v>
      </c>
      <c r="B870" s="25" t="s">
        <v>894</v>
      </c>
      <c r="C870" s="26">
        <v>12997</v>
      </c>
      <c r="D870" s="27">
        <v>38072716.240000002</v>
      </c>
      <c r="E870" s="27">
        <v>30129587.740000002</v>
      </c>
      <c r="F870" s="27">
        <v>7943128.5</v>
      </c>
      <c r="G870" s="27">
        <f>VLOOKUP(A870,'[1]saldos al 26May26'!$C$2:$I$1010,7,FALSE)</f>
        <v>-1266115.71</v>
      </c>
      <c r="H870" s="27"/>
      <c r="I870" s="28"/>
      <c r="J870" s="29">
        <v>117303.498196142</v>
      </c>
      <c r="K870" s="25" t="s">
        <v>40</v>
      </c>
      <c r="L870" s="25" t="s">
        <v>30</v>
      </c>
      <c r="M870" s="25" t="s">
        <v>31</v>
      </c>
      <c r="N870" s="25" t="s">
        <v>32</v>
      </c>
      <c r="O870" t="s">
        <v>32</v>
      </c>
      <c r="P870" s="32">
        <v>-207763.45</v>
      </c>
      <c r="Q870" s="30">
        <v>330195.05</v>
      </c>
      <c r="R870" s="30"/>
      <c r="S870" s="30" t="e">
        <v>#N/A</v>
      </c>
      <c r="T870" t="s">
        <v>34</v>
      </c>
      <c r="U870" s="31" t="e">
        <v>#N/A</v>
      </c>
      <c r="V870" t="s">
        <v>34</v>
      </c>
      <c r="W870"/>
      <c r="Y870" t="e">
        <f>VLOOKUP(A870,[2]!PRGX[[#All],[Proveedor]],1,FALSE)</f>
        <v>#REF!</v>
      </c>
      <c r="Z870"/>
    </row>
    <row r="871" spans="1:26" s="42" customFormat="1" x14ac:dyDescent="0.25">
      <c r="A871" s="25">
        <v>61788</v>
      </c>
      <c r="B871" s="25" t="s">
        <v>895</v>
      </c>
      <c r="C871" s="26">
        <v>7369</v>
      </c>
      <c r="D871" s="27">
        <v>37940800.950000003</v>
      </c>
      <c r="E871" s="27">
        <v>32928311.850000001</v>
      </c>
      <c r="F871" s="27">
        <v>5012489.0999999996</v>
      </c>
      <c r="G871" s="27">
        <f>VLOOKUP(A871,'[1]saldos al 26May26'!$C$2:$I$1010,7,FALSE)</f>
        <v>-1177041.57</v>
      </c>
      <c r="H871" s="27"/>
      <c r="I871" s="28"/>
      <c r="J871" s="29"/>
      <c r="K871" s="25" t="s">
        <v>29</v>
      </c>
      <c r="L871" s="25" t="s">
        <v>30</v>
      </c>
      <c r="M871" s="25" t="s">
        <v>31</v>
      </c>
      <c r="N871" s="25"/>
      <c r="O871" t="s">
        <v>41</v>
      </c>
      <c r="P871" s="32">
        <v>-2581.1699999999983</v>
      </c>
      <c r="Q871" s="30">
        <v>0</v>
      </c>
      <c r="R871" s="30">
        <v>372120</v>
      </c>
      <c r="S871" s="30" t="s">
        <v>63</v>
      </c>
      <c r="T871" t="s">
        <v>33</v>
      </c>
      <c r="U871" s="31" t="e">
        <v>#N/A</v>
      </c>
      <c r="V871" t="s">
        <v>34</v>
      </c>
      <c r="W871"/>
      <c r="Y871" t="e">
        <f>VLOOKUP(A871,[2]!PRGX[[#All],[Proveedor]],1,FALSE)</f>
        <v>#REF!</v>
      </c>
      <c r="Z871"/>
    </row>
    <row r="872" spans="1:26" x14ac:dyDescent="0.25">
      <c r="A872" s="25">
        <v>21102</v>
      </c>
      <c r="B872" s="25" t="s">
        <v>896</v>
      </c>
      <c r="C872" s="26">
        <v>6908</v>
      </c>
      <c r="D872" s="27">
        <v>37932850.659999996</v>
      </c>
      <c r="E872" s="27">
        <v>32759443.859999996</v>
      </c>
      <c r="F872" s="27">
        <v>5173406.8</v>
      </c>
      <c r="G872" s="27">
        <f>VLOOKUP(A872,'[1]saldos al 26May26'!$C$2:$I$1010,7,FALSE)</f>
        <v>-1126294.73</v>
      </c>
      <c r="H872" s="27"/>
      <c r="I872" s="28"/>
      <c r="J872" s="29">
        <v>68335.834698019884</v>
      </c>
      <c r="K872" s="25" t="s">
        <v>40</v>
      </c>
      <c r="L872" s="25" t="s">
        <v>30</v>
      </c>
      <c r="M872" s="25" t="s">
        <v>31</v>
      </c>
      <c r="N872" s="25" t="s">
        <v>47</v>
      </c>
      <c r="O872" t="s">
        <v>47</v>
      </c>
      <c r="P872" s="32">
        <v>-17932.84</v>
      </c>
      <c r="Q872" s="30">
        <v>97372.160000000003</v>
      </c>
      <c r="R872" s="30">
        <v>41035.599999999999</v>
      </c>
      <c r="S872" s="30" t="e">
        <v>#N/A</v>
      </c>
      <c r="T872" t="s">
        <v>34</v>
      </c>
      <c r="U872" s="31" t="e">
        <v>#N/A</v>
      </c>
      <c r="V872" t="s">
        <v>34</v>
      </c>
      <c r="Y872" t="e">
        <f>VLOOKUP(A872,[2]!PRGX[[#All],[Proveedor]],1,FALSE)</f>
        <v>#REF!</v>
      </c>
    </row>
    <row r="873" spans="1:26" x14ac:dyDescent="0.25">
      <c r="A873" s="52">
        <v>245</v>
      </c>
      <c r="B873" s="52" t="s">
        <v>897</v>
      </c>
      <c r="C873" s="53">
        <v>7832</v>
      </c>
      <c r="D873" s="54">
        <v>37614426.697999999</v>
      </c>
      <c r="E873" s="27">
        <v>19673354.599999998</v>
      </c>
      <c r="F873" s="27">
        <v>17941072.098000001</v>
      </c>
      <c r="G873" s="54">
        <f>VLOOKUP(A873,'[1]saldos al 26May26'!$C$2:$I$1010,7,FALSE)</f>
        <v>-5016917.7</v>
      </c>
      <c r="H873" s="54"/>
      <c r="I873" s="55"/>
      <c r="J873" s="56">
        <v>541215.41990572202</v>
      </c>
      <c r="K873" s="52" t="s">
        <v>40</v>
      </c>
      <c r="L873" s="52" t="s">
        <v>30</v>
      </c>
      <c r="M873" s="52" t="s">
        <v>50</v>
      </c>
      <c r="N873" s="52" t="s">
        <v>41</v>
      </c>
      <c r="O873" s="57" t="s">
        <v>41</v>
      </c>
      <c r="P873" s="59">
        <v>-199966.4</v>
      </c>
      <c r="Q873" s="58">
        <v>0</v>
      </c>
      <c r="R873" s="30">
        <v>44057.599999999999</v>
      </c>
      <c r="S873" s="30" t="s">
        <v>63</v>
      </c>
      <c r="T873" s="57" t="s">
        <v>33</v>
      </c>
      <c r="U873" s="31" t="s">
        <v>33</v>
      </c>
      <c r="V873" t="s">
        <v>33</v>
      </c>
      <c r="Y873" t="e">
        <f>VLOOKUP(A873,[2]!PRGX[[#All],[Proveedor]],1,FALSE)</f>
        <v>#REF!</v>
      </c>
    </row>
    <row r="874" spans="1:26" s="42" customFormat="1" x14ac:dyDescent="0.25">
      <c r="A874" s="25">
        <v>25082</v>
      </c>
      <c r="B874" s="25" t="s">
        <v>292</v>
      </c>
      <c r="C874" s="26">
        <v>8128</v>
      </c>
      <c r="D874" s="27">
        <v>37453331.32</v>
      </c>
      <c r="E874" s="27">
        <v>11322469.34</v>
      </c>
      <c r="F874" s="27">
        <v>26130861.98</v>
      </c>
      <c r="G874" s="27">
        <f>VLOOKUP(A874,'[1]saldos al 26May26'!$C$2:$I$1010,7,FALSE)</f>
        <v>-6721424.1900000004</v>
      </c>
      <c r="H874" s="27"/>
      <c r="I874" s="28"/>
      <c r="J874" s="29">
        <v>41858.113532087998</v>
      </c>
      <c r="K874" s="25" t="s">
        <v>40</v>
      </c>
      <c r="L874" s="25" t="s">
        <v>30</v>
      </c>
      <c r="M874" s="25" t="s">
        <v>50</v>
      </c>
      <c r="N874" s="25" t="s">
        <v>32</v>
      </c>
      <c r="O874" t="s">
        <v>32</v>
      </c>
      <c r="P874" s="30"/>
      <c r="Q874" s="30"/>
      <c r="R874" s="30">
        <v>716374.65</v>
      </c>
      <c r="S874" s="30" t="e">
        <v>#N/A</v>
      </c>
      <c r="T874" t="s">
        <v>34</v>
      </c>
      <c r="U874" s="31" t="e">
        <v>#N/A</v>
      </c>
      <c r="V874" t="s">
        <v>34</v>
      </c>
      <c r="W874"/>
      <c r="Y874" t="e">
        <f>VLOOKUP(A874,[2]!PRGX[[#All],[Proveedor]],1,FALSE)</f>
        <v>#REF!</v>
      </c>
      <c r="Z874"/>
    </row>
    <row r="875" spans="1:26" s="42" customFormat="1" x14ac:dyDescent="0.25">
      <c r="A875" s="52">
        <v>1530</v>
      </c>
      <c r="B875" s="52" t="s">
        <v>898</v>
      </c>
      <c r="C875" s="53">
        <v>2541</v>
      </c>
      <c r="D875" s="54">
        <v>37354781.390000001</v>
      </c>
      <c r="E875" s="27">
        <v>32137329.789999999</v>
      </c>
      <c r="F875" s="27">
        <v>5217451.5999999996</v>
      </c>
      <c r="G875" s="54">
        <f>VLOOKUP(A875,'[1]saldos al 26May26'!$C$2:$I$1010,7,FALSE)</f>
        <v>-1595441.01</v>
      </c>
      <c r="H875" s="54"/>
      <c r="I875" s="55"/>
      <c r="J875" s="56">
        <v>138816.87335698601</v>
      </c>
      <c r="K875" s="52" t="s">
        <v>40</v>
      </c>
      <c r="L875" s="52" t="s">
        <v>30</v>
      </c>
      <c r="M875" s="52" t="s">
        <v>31</v>
      </c>
      <c r="N875" s="52" t="s">
        <v>80</v>
      </c>
      <c r="O875" s="57" t="s">
        <v>80</v>
      </c>
      <c r="P875" s="58">
        <v>99499.590000000011</v>
      </c>
      <c r="Q875" s="58">
        <v>1411120</v>
      </c>
      <c r="R875" s="30"/>
      <c r="S875" s="30" t="e">
        <v>#N/A</v>
      </c>
      <c r="T875" s="57" t="s">
        <v>34</v>
      </c>
      <c r="U875" s="31" t="e">
        <v>#N/A</v>
      </c>
      <c r="V875" s="57" t="s">
        <v>34</v>
      </c>
      <c r="W875"/>
      <c r="X875" t="s">
        <v>43</v>
      </c>
      <c r="Y875" t="e">
        <f>VLOOKUP(A875,[2]!PRGX[[#All],[Proveedor]],1,FALSE)</f>
        <v>#REF!</v>
      </c>
      <c r="Z875"/>
    </row>
    <row r="876" spans="1:26" x14ac:dyDescent="0.25">
      <c r="A876" s="25">
        <v>300210</v>
      </c>
      <c r="B876" s="25" t="s">
        <v>899</v>
      </c>
      <c r="C876" s="26">
        <v>1901</v>
      </c>
      <c r="D876" s="27">
        <v>37297046.659999996</v>
      </c>
      <c r="E876" s="27">
        <v>28317094.089999996</v>
      </c>
      <c r="F876" s="27">
        <v>8979952.5700000003</v>
      </c>
      <c r="G876" s="27">
        <f>VLOOKUP(A876,'[1]saldos al 26May26'!$C$2:$I$1010,7,FALSE)</f>
        <v>-853733.19</v>
      </c>
      <c r="H876" s="27"/>
      <c r="I876" s="28"/>
      <c r="J876" s="29">
        <v>141673.41055448449</v>
      </c>
      <c r="K876" s="25" t="s">
        <v>40</v>
      </c>
      <c r="L876" s="25" t="s">
        <v>30</v>
      </c>
      <c r="M876" s="25" t="s">
        <v>31</v>
      </c>
      <c r="N876" s="25" t="s">
        <v>41</v>
      </c>
      <c r="O876" t="s">
        <v>41</v>
      </c>
      <c r="P876" s="30">
        <v>791039.05999999994</v>
      </c>
      <c r="Q876" s="30">
        <v>1376347.75</v>
      </c>
      <c r="R876" s="30"/>
      <c r="S876" s="30" t="s">
        <v>63</v>
      </c>
      <c r="T876" s="57" t="s">
        <v>33</v>
      </c>
      <c r="U876" s="31" t="s">
        <v>33</v>
      </c>
      <c r="V876" t="s">
        <v>33</v>
      </c>
      <c r="Y876" t="e">
        <f>VLOOKUP(A876,[2]!PRGX[[#All],[Proveedor]],1,FALSE)</f>
        <v>#REF!</v>
      </c>
    </row>
    <row r="877" spans="1:26" x14ac:dyDescent="0.25">
      <c r="A877" s="25">
        <v>306646</v>
      </c>
      <c r="B877" s="25" t="s">
        <v>900</v>
      </c>
      <c r="C877" s="26">
        <v>4810</v>
      </c>
      <c r="D877" s="27">
        <v>37153720.829999998</v>
      </c>
      <c r="E877" s="27">
        <v>30256066.25</v>
      </c>
      <c r="F877" s="27">
        <v>6897654.5800000001</v>
      </c>
      <c r="G877" s="27">
        <f>VLOOKUP(A877,'[1]saldos al 26May26'!$C$2:$I$1010,7,FALSE)</f>
        <v>-1919799.34</v>
      </c>
      <c r="H877" s="27"/>
      <c r="I877" s="28"/>
      <c r="J877" s="29">
        <v>39444.2428331665</v>
      </c>
      <c r="K877" s="25" t="s">
        <v>40</v>
      </c>
      <c r="L877" s="25" t="s">
        <v>30</v>
      </c>
      <c r="M877" s="25" t="s">
        <v>55</v>
      </c>
      <c r="N877" s="25" t="s">
        <v>70</v>
      </c>
      <c r="O877" t="s">
        <v>70</v>
      </c>
      <c r="P877" s="32">
        <v>-17288.38</v>
      </c>
      <c r="Q877" s="30">
        <v>0</v>
      </c>
      <c r="R877" s="30">
        <v>264234.98</v>
      </c>
      <c r="S877" s="30" t="e">
        <v>#N/A</v>
      </c>
      <c r="T877" t="s">
        <v>34</v>
      </c>
      <c r="U877" s="31" t="e">
        <v>#N/A</v>
      </c>
      <c r="V877" t="s">
        <v>34</v>
      </c>
      <c r="Y877" t="e">
        <f>VLOOKUP(A877,[2]!PRGX[[#All],[Proveedor]],1,FALSE)</f>
        <v>#REF!</v>
      </c>
    </row>
    <row r="878" spans="1:26" x14ac:dyDescent="0.25">
      <c r="A878" s="25">
        <v>25076</v>
      </c>
      <c r="B878" s="25" t="s">
        <v>901</v>
      </c>
      <c r="C878" s="26">
        <v>509</v>
      </c>
      <c r="D878" s="27">
        <v>37039449.890000001</v>
      </c>
      <c r="E878" s="27">
        <v>24777839.890000001</v>
      </c>
      <c r="F878" s="27">
        <v>12261610</v>
      </c>
      <c r="G878" s="27">
        <f>VLOOKUP(A878,'[1]saldos al 26May26'!$C$2:$I$1010,7,FALSE)</f>
        <v>-8647721.75</v>
      </c>
      <c r="H878" s="27"/>
      <c r="I878" s="28"/>
      <c r="J878" s="29">
        <v>181825.72199897279</v>
      </c>
      <c r="K878" s="25" t="s">
        <v>40</v>
      </c>
      <c r="L878" s="25" t="s">
        <v>30</v>
      </c>
      <c r="M878" s="25" t="s">
        <v>31</v>
      </c>
      <c r="N878" s="25" t="s">
        <v>41</v>
      </c>
      <c r="O878" t="s">
        <v>41</v>
      </c>
      <c r="P878" s="30">
        <v>26265</v>
      </c>
      <c r="Q878" s="30">
        <v>0</v>
      </c>
      <c r="R878" s="30"/>
      <c r="S878" s="30" t="s">
        <v>63</v>
      </c>
      <c r="T878" s="57" t="s">
        <v>33</v>
      </c>
      <c r="U878" s="31" t="s">
        <v>33</v>
      </c>
      <c r="V878" t="s">
        <v>33</v>
      </c>
      <c r="Y878" t="e">
        <f>VLOOKUP(A878,[2]!PRGX[[#All],[Proveedor]],1,FALSE)</f>
        <v>#REF!</v>
      </c>
    </row>
    <row r="879" spans="1:26" x14ac:dyDescent="0.25">
      <c r="A879" s="25">
        <v>392670</v>
      </c>
      <c r="B879" s="25" t="s">
        <v>902</v>
      </c>
      <c r="C879" s="26">
        <v>5699</v>
      </c>
      <c r="D879" s="27">
        <v>37026514.591600001</v>
      </c>
      <c r="E879" s="27">
        <v>29028036.080000002</v>
      </c>
      <c r="F879" s="27">
        <v>7998478.5115999999</v>
      </c>
      <c r="G879" s="27">
        <f>VLOOKUP(A879,'[1]saldos al 26May26'!$C$2:$I$1010,7,FALSE)</f>
        <v>-105110.48</v>
      </c>
      <c r="H879" s="27"/>
      <c r="I879" s="28"/>
      <c r="J879" s="29">
        <v>141984.1942120548</v>
      </c>
      <c r="K879" s="25" t="s">
        <v>40</v>
      </c>
      <c r="L879" s="25" t="s">
        <v>30</v>
      </c>
      <c r="M879" s="25" t="s">
        <v>31</v>
      </c>
      <c r="N879" s="25" t="s">
        <v>87</v>
      </c>
      <c r="O879" t="s">
        <v>87</v>
      </c>
      <c r="P879" s="32">
        <v>-221794</v>
      </c>
      <c r="Q879" s="30">
        <v>0</v>
      </c>
      <c r="R879" s="30"/>
      <c r="S879" s="30" t="e">
        <v>#N/A</v>
      </c>
      <c r="T879" t="s">
        <v>34</v>
      </c>
      <c r="U879" s="31" t="e">
        <v>#N/A</v>
      </c>
      <c r="V879" t="s">
        <v>34</v>
      </c>
      <c r="Y879" t="e">
        <f>VLOOKUP(A879,[2]!PRGX[[#All],[Proveedor]],1,FALSE)</f>
        <v>#REF!</v>
      </c>
    </row>
    <row r="880" spans="1:26" x14ac:dyDescent="0.25">
      <c r="A880" s="25">
        <v>8767</v>
      </c>
      <c r="B880" s="25" t="s">
        <v>318</v>
      </c>
      <c r="C880" s="26">
        <v>4186</v>
      </c>
      <c r="D880" s="27">
        <v>36434795.789999999</v>
      </c>
      <c r="E880" s="27">
        <v>21692331.789999999</v>
      </c>
      <c r="F880" s="27">
        <v>14742464</v>
      </c>
      <c r="G880" s="27">
        <f>VLOOKUP(A880,'[1]saldos al 26May26'!$C$2:$I$1010,7,FALSE)</f>
        <v>-713079.26</v>
      </c>
      <c r="H880" s="27"/>
      <c r="I880" s="28"/>
      <c r="J880" s="29"/>
      <c r="K880" s="25" t="s">
        <v>29</v>
      </c>
      <c r="L880" s="25" t="s">
        <v>30</v>
      </c>
      <c r="M880" s="25" t="s">
        <v>55</v>
      </c>
      <c r="N880" s="25"/>
      <c r="O880" t="s">
        <v>38</v>
      </c>
      <c r="P880" s="32">
        <v>-532679.4</v>
      </c>
      <c r="Q880" s="30">
        <v>0</v>
      </c>
      <c r="R880" s="30"/>
      <c r="S880" s="30" t="s">
        <v>33</v>
      </c>
      <c r="T880" t="s">
        <v>33</v>
      </c>
      <c r="U880" s="31" t="e">
        <v>#N/A</v>
      </c>
      <c r="V880" t="s">
        <v>34</v>
      </c>
      <c r="W880" s="42"/>
      <c r="Y880" t="e">
        <f>VLOOKUP(A880,[2]!PRGX[[#All],[Proveedor]],1,FALSE)</f>
        <v>#REF!</v>
      </c>
    </row>
    <row r="881" spans="1:26" x14ac:dyDescent="0.25">
      <c r="A881" s="25">
        <v>25027</v>
      </c>
      <c r="B881" s="25" t="s">
        <v>903</v>
      </c>
      <c r="C881" s="26">
        <v>19716</v>
      </c>
      <c r="D881" s="27">
        <v>187940615.33000001</v>
      </c>
      <c r="E881" s="27">
        <v>95700349.450000018</v>
      </c>
      <c r="F881" s="27">
        <v>92240265.879999995</v>
      </c>
      <c r="G881" s="27">
        <f>VLOOKUP(A881,'[1]saldos al 26May26'!$C$2:$I$1010,7,FALSE)</f>
        <v>-15118260.039999999</v>
      </c>
      <c r="H881" s="27"/>
      <c r="I881" s="28"/>
      <c r="J881" s="29"/>
      <c r="K881" s="25" t="s">
        <v>29</v>
      </c>
      <c r="L881" s="25" t="s">
        <v>30</v>
      </c>
      <c r="M881" s="25" t="s">
        <v>50</v>
      </c>
      <c r="N881" s="25"/>
      <c r="O881" t="s">
        <v>56</v>
      </c>
      <c r="P881" s="32">
        <v>-319706.59000000003</v>
      </c>
      <c r="Q881" s="30">
        <v>0</v>
      </c>
      <c r="R881" s="30">
        <v>400000</v>
      </c>
      <c r="S881" s="30" t="s">
        <v>63</v>
      </c>
      <c r="T881" t="s">
        <v>33</v>
      </c>
      <c r="U881" s="31" t="e">
        <v>#N/A</v>
      </c>
      <c r="V881" t="s">
        <v>34</v>
      </c>
      <c r="Y881" t="e">
        <f>VLOOKUP(A881,[2]!PRGX[[#All],[Proveedor]],1,FALSE)</f>
        <v>#REF!</v>
      </c>
    </row>
    <row r="882" spans="1:26" x14ac:dyDescent="0.25">
      <c r="A882" s="25">
        <v>24049</v>
      </c>
      <c r="B882" s="25" t="s">
        <v>904</v>
      </c>
      <c r="C882" s="26">
        <v>307</v>
      </c>
      <c r="D882" s="27">
        <v>36050781.600000001</v>
      </c>
      <c r="E882" s="27">
        <v>26168781.600000001</v>
      </c>
      <c r="F882" s="27">
        <v>9882000</v>
      </c>
      <c r="G882" s="27">
        <f>VLOOKUP(A882,'[1]saldos al 26May26'!$C$2:$I$1010,7,FALSE)</f>
        <v>-1836877.44</v>
      </c>
      <c r="H882" s="27"/>
      <c r="I882" s="28"/>
      <c r="J882" s="29">
        <v>267544.87926970649</v>
      </c>
      <c r="K882" s="25" t="s">
        <v>40</v>
      </c>
      <c r="L882" s="25" t="s">
        <v>30</v>
      </c>
      <c r="M882" s="25" t="s">
        <v>31</v>
      </c>
      <c r="N882" s="25" t="s">
        <v>67</v>
      </c>
      <c r="O882" t="s">
        <v>67</v>
      </c>
      <c r="P882" s="32">
        <v>-39191.040000000001</v>
      </c>
      <c r="Q882" s="30">
        <v>0</v>
      </c>
      <c r="R882" s="30"/>
      <c r="S882" s="30" t="s">
        <v>63</v>
      </c>
      <c r="T882" s="57" t="s">
        <v>33</v>
      </c>
      <c r="U882" s="31">
        <v>0</v>
      </c>
      <c r="V882" t="s">
        <v>34</v>
      </c>
      <c r="Y882" t="e">
        <f>VLOOKUP(A882,[2]!PRGX[[#All],[Proveedor]],1,FALSE)</f>
        <v>#REF!</v>
      </c>
    </row>
    <row r="883" spans="1:26" x14ac:dyDescent="0.25">
      <c r="A883" s="25">
        <v>652</v>
      </c>
      <c r="B883" s="25" t="s">
        <v>905</v>
      </c>
      <c r="C883" s="26">
        <v>72266</v>
      </c>
      <c r="D883" s="27">
        <v>182134736.19549999</v>
      </c>
      <c r="E883" s="27">
        <v>86124699.887999982</v>
      </c>
      <c r="F883" s="27">
        <v>96010036.307500005</v>
      </c>
      <c r="G883" s="27">
        <f>VLOOKUP(A883,'[1]saldos al 26May26'!$C$2:$I$1010,7,FALSE)</f>
        <v>-1981424.25</v>
      </c>
      <c r="H883" s="27"/>
      <c r="I883" s="28"/>
      <c r="J883" s="29"/>
      <c r="K883" s="25" t="s">
        <v>40</v>
      </c>
      <c r="L883" s="25" t="s">
        <v>30</v>
      </c>
      <c r="M883" s="25" t="s">
        <v>55</v>
      </c>
      <c r="N883" s="25" t="s">
        <v>56</v>
      </c>
      <c r="O883" t="s">
        <v>56</v>
      </c>
      <c r="P883" s="32">
        <v>-45923.69</v>
      </c>
      <c r="Q883" s="30">
        <v>0</v>
      </c>
      <c r="R883" s="30"/>
      <c r="S883" s="30" t="e">
        <v>#N/A</v>
      </c>
      <c r="T883" t="s">
        <v>34</v>
      </c>
      <c r="U883" s="31" t="e">
        <v>#N/A</v>
      </c>
      <c r="V883" t="s">
        <v>34</v>
      </c>
      <c r="Y883" t="e">
        <f>VLOOKUP(A883,[2]!PRGX[[#All],[Proveedor]],1,FALSE)</f>
        <v>#REF!</v>
      </c>
    </row>
    <row r="884" spans="1:26" x14ac:dyDescent="0.25">
      <c r="A884" s="25">
        <v>21828</v>
      </c>
      <c r="B884" s="25" t="s">
        <v>906</v>
      </c>
      <c r="C884" s="26">
        <v>6404</v>
      </c>
      <c r="D884" s="27">
        <v>35800315.5</v>
      </c>
      <c r="E884" s="27">
        <v>25348089.52</v>
      </c>
      <c r="F884" s="27">
        <v>10452225.98</v>
      </c>
      <c r="G884" s="27">
        <f>VLOOKUP(A884,'[1]saldos al 26May26'!$C$2:$I$1010,7,FALSE)</f>
        <v>-671442.34</v>
      </c>
      <c r="H884" s="27"/>
      <c r="I884" s="28"/>
      <c r="J884" s="29">
        <v>321262.35026044201</v>
      </c>
      <c r="K884" s="25" t="s">
        <v>40</v>
      </c>
      <c r="L884" s="25" t="s">
        <v>30</v>
      </c>
      <c r="M884" s="25" t="s">
        <v>50</v>
      </c>
      <c r="N884" s="25" t="s">
        <v>80</v>
      </c>
      <c r="O884" t="s">
        <v>80</v>
      </c>
      <c r="P884" s="32">
        <v>-797861.19</v>
      </c>
      <c r="Q884" s="30">
        <v>11342.03</v>
      </c>
      <c r="R884" s="30"/>
      <c r="S884" s="30" t="e">
        <v>#N/A</v>
      </c>
      <c r="T884" t="s">
        <v>34</v>
      </c>
      <c r="U884" s="31" t="e">
        <v>#N/A</v>
      </c>
      <c r="V884" t="s">
        <v>34</v>
      </c>
      <c r="Y884" t="e">
        <f>VLOOKUP(A884,[2]!PRGX[[#All],[Proveedor]],1,FALSE)</f>
        <v>#REF!</v>
      </c>
    </row>
    <row r="885" spans="1:26" x14ac:dyDescent="0.25">
      <c r="A885" s="25">
        <v>52969</v>
      </c>
      <c r="B885" s="25" t="s">
        <v>907</v>
      </c>
      <c r="C885" s="26">
        <v>10423</v>
      </c>
      <c r="D885" s="27">
        <v>35763557.399999999</v>
      </c>
      <c r="E885" s="27">
        <v>29102986.399999999</v>
      </c>
      <c r="F885" s="27">
        <v>6660571</v>
      </c>
      <c r="G885" s="27">
        <f>VLOOKUP(A885,'[1]saldos al 26May26'!$C$2:$I$1010,7,FALSE)</f>
        <v>-633331.67000000004</v>
      </c>
      <c r="H885" s="27"/>
      <c r="I885" s="28"/>
      <c r="J885" s="29">
        <v>61397.353421335996</v>
      </c>
      <c r="K885" s="25" t="s">
        <v>40</v>
      </c>
      <c r="L885" s="25" t="s">
        <v>30</v>
      </c>
      <c r="M885" s="25" t="s">
        <v>55</v>
      </c>
      <c r="N885" s="25" t="s">
        <v>32</v>
      </c>
      <c r="O885" t="s">
        <v>32</v>
      </c>
      <c r="P885" s="32">
        <v>-8310.9</v>
      </c>
      <c r="Q885" s="30">
        <v>0</v>
      </c>
      <c r="R885" s="30"/>
      <c r="S885" s="30" t="e">
        <v>#N/A</v>
      </c>
      <c r="T885" t="s">
        <v>34</v>
      </c>
      <c r="U885" s="31" t="e">
        <v>#N/A</v>
      </c>
      <c r="V885" t="s">
        <v>34</v>
      </c>
      <c r="Y885" t="e">
        <f>VLOOKUP(A885,[2]!PRGX[[#All],[Proveedor]],1,FALSE)</f>
        <v>#REF!</v>
      </c>
    </row>
    <row r="886" spans="1:26" x14ac:dyDescent="0.25">
      <c r="A886" s="52">
        <v>23547</v>
      </c>
      <c r="B886" s="52" t="s">
        <v>908</v>
      </c>
      <c r="C886" s="53">
        <v>2347</v>
      </c>
      <c r="D886" s="54">
        <v>35223553.799999997</v>
      </c>
      <c r="E886" s="27">
        <v>20913172.799999997</v>
      </c>
      <c r="F886" s="27">
        <v>14310381</v>
      </c>
      <c r="G886" s="54">
        <f>VLOOKUP(A886,'[1]saldos al 26May26'!$C$2:$I$1010,7,FALSE)</f>
        <v>-3354049.12</v>
      </c>
      <c r="H886" s="54"/>
      <c r="I886" s="55"/>
      <c r="J886" s="56">
        <v>399745.17247815395</v>
      </c>
      <c r="K886" s="52" t="s">
        <v>40</v>
      </c>
      <c r="L886" s="52" t="s">
        <v>30</v>
      </c>
      <c r="M886" s="52" t="s">
        <v>50</v>
      </c>
      <c r="N886" s="52" t="s">
        <v>36</v>
      </c>
      <c r="O886" s="57" t="s">
        <v>36</v>
      </c>
      <c r="P886" s="59">
        <v>-534517.19999999995</v>
      </c>
      <c r="Q886" s="58">
        <v>0</v>
      </c>
      <c r="R886" s="30"/>
      <c r="S886" s="30" t="e">
        <v>#N/A</v>
      </c>
      <c r="T886" s="57" t="s">
        <v>34</v>
      </c>
      <c r="U886" s="31" t="e">
        <v>#N/A</v>
      </c>
      <c r="V886" s="57" t="s">
        <v>34</v>
      </c>
      <c r="X886" t="s">
        <v>43</v>
      </c>
      <c r="Y886" t="e">
        <f>VLOOKUP(A886,[2]!PRGX[[#All],[Proveedor]],1,FALSE)</f>
        <v>#REF!</v>
      </c>
    </row>
    <row r="887" spans="1:26" x14ac:dyDescent="0.25">
      <c r="A887" s="25">
        <v>303632</v>
      </c>
      <c r="B887" s="25" t="s">
        <v>909</v>
      </c>
      <c r="C887" s="26">
        <v>9179</v>
      </c>
      <c r="D887" s="27">
        <v>35139026.5</v>
      </c>
      <c r="E887" s="27">
        <v>26036850.640000001</v>
      </c>
      <c r="F887" s="27">
        <v>9102175.8599999994</v>
      </c>
      <c r="G887" s="27">
        <f>VLOOKUP(A887,'[1]saldos al 26May26'!$C$2:$I$1010,7,FALSE)</f>
        <v>-2594915.9700000002</v>
      </c>
      <c r="H887" s="27"/>
      <c r="I887" s="28"/>
      <c r="J887" s="29">
        <v>545744.06507411494</v>
      </c>
      <c r="K887" s="25" t="s">
        <v>40</v>
      </c>
      <c r="L887" s="25" t="s">
        <v>30</v>
      </c>
      <c r="M887" s="25" t="s">
        <v>61</v>
      </c>
      <c r="N887" s="25" t="s">
        <v>41</v>
      </c>
      <c r="O887" t="s">
        <v>41</v>
      </c>
      <c r="P887" s="32">
        <v>-115663.44</v>
      </c>
      <c r="Q887" s="30">
        <v>0</v>
      </c>
      <c r="R887" s="30">
        <v>25284</v>
      </c>
      <c r="S887" s="30" t="s">
        <v>63</v>
      </c>
      <c r="T887" t="s">
        <v>33</v>
      </c>
      <c r="U887" s="31" t="s">
        <v>33</v>
      </c>
      <c r="V887" t="s">
        <v>33</v>
      </c>
      <c r="Y887" t="e">
        <f>VLOOKUP(A887,[2]!PRGX[[#All],[Proveedor]],1,FALSE)</f>
        <v>#REF!</v>
      </c>
    </row>
    <row r="888" spans="1:26" x14ac:dyDescent="0.25">
      <c r="A888" s="25">
        <v>395855</v>
      </c>
      <c r="B888" s="25" t="s">
        <v>910</v>
      </c>
      <c r="C888" s="26">
        <v>16780</v>
      </c>
      <c r="D888" s="27">
        <v>34773959.380000003</v>
      </c>
      <c r="E888" s="27">
        <v>28731569.380000003</v>
      </c>
      <c r="F888" s="27">
        <v>6042390</v>
      </c>
      <c r="G888" s="27">
        <f>VLOOKUP(A888,'[1]saldos al 26May26'!$C$2:$I$1010,7,FALSE)</f>
        <v>-938488.23</v>
      </c>
      <c r="H888" s="27"/>
      <c r="I888" s="28"/>
      <c r="J888" s="29">
        <v>90068.621356924006</v>
      </c>
      <c r="K888" s="25" t="s">
        <v>40</v>
      </c>
      <c r="L888" s="25" t="s">
        <v>30</v>
      </c>
      <c r="M888" s="25" t="s">
        <v>31</v>
      </c>
      <c r="N888" s="25" t="s">
        <v>96</v>
      </c>
      <c r="O888" t="s">
        <v>96</v>
      </c>
      <c r="P888" s="32">
        <v>-29032.15</v>
      </c>
      <c r="Q888" s="30">
        <v>167321.98000000001</v>
      </c>
      <c r="R888" s="30"/>
      <c r="S888" s="30" t="e">
        <v>#N/A</v>
      </c>
      <c r="T888" t="s">
        <v>34</v>
      </c>
      <c r="U888" s="31">
        <v>0</v>
      </c>
      <c r="V888" t="s">
        <v>42</v>
      </c>
      <c r="Y888" t="e">
        <f>VLOOKUP(A888,[2]!PRGX[[#All],[Proveedor]],1,FALSE)</f>
        <v>#REF!</v>
      </c>
    </row>
    <row r="889" spans="1:26" x14ac:dyDescent="0.25">
      <c r="A889" s="25">
        <v>345983</v>
      </c>
      <c r="B889" s="25" t="s">
        <v>911</v>
      </c>
      <c r="C889" s="26">
        <v>1772</v>
      </c>
      <c r="D889" s="27">
        <v>34662455.25</v>
      </c>
      <c r="E889" s="27">
        <v>29172519.25</v>
      </c>
      <c r="F889" s="27">
        <v>5489936</v>
      </c>
      <c r="G889" s="27">
        <f>VLOOKUP(A889,'[1]saldos al 26May26'!$C$2:$I$1010,7,FALSE)</f>
        <v>-675081.89</v>
      </c>
      <c r="H889" s="27"/>
      <c r="I889" s="28"/>
      <c r="J889" s="29">
        <v>382112.51500000001</v>
      </c>
      <c r="K889" s="25" t="s">
        <v>40</v>
      </c>
      <c r="L889" s="25" t="s">
        <v>30</v>
      </c>
      <c r="M889" s="25" t="s">
        <v>50</v>
      </c>
      <c r="N889" s="25" t="s">
        <v>70</v>
      </c>
      <c r="O889" t="s">
        <v>70</v>
      </c>
      <c r="P889" s="32">
        <v>-160492.56</v>
      </c>
      <c r="Q889" s="30">
        <v>0</v>
      </c>
      <c r="R889" s="30"/>
      <c r="S889" s="30" t="s">
        <v>33</v>
      </c>
      <c r="T889" s="57" t="s">
        <v>33</v>
      </c>
      <c r="U889" s="31" t="s">
        <v>33</v>
      </c>
      <c r="V889" t="s">
        <v>33</v>
      </c>
      <c r="Y889" t="e">
        <f>VLOOKUP(A889,[2]!PRGX[[#All],[Proveedor]],1,FALSE)</f>
        <v>#REF!</v>
      </c>
    </row>
    <row r="890" spans="1:26" x14ac:dyDescent="0.25">
      <c r="A890" s="25">
        <v>89540</v>
      </c>
      <c r="B890" s="25" t="s">
        <v>912</v>
      </c>
      <c r="C890" s="26">
        <v>4507</v>
      </c>
      <c r="D890" s="27">
        <v>33964038.219999999</v>
      </c>
      <c r="E890" s="27">
        <v>24012090.369999997</v>
      </c>
      <c r="F890" s="27">
        <v>9951947.8499999996</v>
      </c>
      <c r="G890" s="27">
        <f>VLOOKUP(A890,'[1]saldos al 26May26'!$C$2:$I$1010,7,FALSE)</f>
        <v>-513134.42</v>
      </c>
      <c r="H890" s="27"/>
      <c r="I890" s="28"/>
      <c r="J890" s="29">
        <v>164891.17252603249</v>
      </c>
      <c r="K890" s="25" t="s">
        <v>40</v>
      </c>
      <c r="L890" s="25" t="s">
        <v>30</v>
      </c>
      <c r="M890" s="25" t="s">
        <v>31</v>
      </c>
      <c r="N890" s="25" t="s">
        <v>41</v>
      </c>
      <c r="O890" t="s">
        <v>41</v>
      </c>
      <c r="P890" s="30">
        <v>670725.86</v>
      </c>
      <c r="Q890" s="30">
        <v>0</v>
      </c>
      <c r="R890" s="30"/>
      <c r="S890" s="30" t="s">
        <v>63</v>
      </c>
      <c r="T890" s="57" t="s">
        <v>33</v>
      </c>
      <c r="U890" s="31" t="s">
        <v>33</v>
      </c>
      <c r="V890" t="s">
        <v>33</v>
      </c>
      <c r="Y890" t="e">
        <f>VLOOKUP(A890,[2]!PRGX[[#All],[Proveedor]],1,FALSE)</f>
        <v>#REF!</v>
      </c>
    </row>
    <row r="891" spans="1:26" x14ac:dyDescent="0.25">
      <c r="A891" s="25">
        <v>385559</v>
      </c>
      <c r="B891" s="25" t="s">
        <v>913</v>
      </c>
      <c r="C891" s="26">
        <v>7831</v>
      </c>
      <c r="D891" s="27">
        <v>33750260.18</v>
      </c>
      <c r="E891" s="27">
        <v>30304686.699999999</v>
      </c>
      <c r="F891" s="27">
        <v>3445573.48</v>
      </c>
      <c r="G891" s="27">
        <f>VLOOKUP(A891,'[1]saldos al 26May26'!$C$2:$I$1010,7,FALSE)</f>
        <v>-851626.34</v>
      </c>
      <c r="H891" s="27"/>
      <c r="I891" s="28"/>
      <c r="J891" s="29">
        <v>55991.954758863001</v>
      </c>
      <c r="K891" s="25" t="s">
        <v>40</v>
      </c>
      <c r="L891" s="25" t="s">
        <v>30</v>
      </c>
      <c r="M891" s="25" t="s">
        <v>55</v>
      </c>
      <c r="N891" s="25" t="s">
        <v>45</v>
      </c>
      <c r="O891" t="s">
        <v>45</v>
      </c>
      <c r="P891" s="30">
        <v>718196.9800000001</v>
      </c>
      <c r="Q891" s="30">
        <v>514134</v>
      </c>
      <c r="R891" s="30"/>
      <c r="S891" s="30" t="e">
        <v>#N/A</v>
      </c>
      <c r="T891" t="s">
        <v>34</v>
      </c>
      <c r="U891" s="31" t="e">
        <v>#N/A</v>
      </c>
      <c r="V891" t="s">
        <v>34</v>
      </c>
      <c r="Y891" t="e">
        <f>VLOOKUP(A891,[2]!PRGX[[#All],[Proveedor]],1,FALSE)</f>
        <v>#REF!</v>
      </c>
    </row>
    <row r="892" spans="1:26" s="42" customFormat="1" x14ac:dyDescent="0.25">
      <c r="A892" s="25">
        <v>8617</v>
      </c>
      <c r="B892" s="25" t="s">
        <v>914</v>
      </c>
      <c r="C892" s="26">
        <v>14314</v>
      </c>
      <c r="D892" s="27">
        <v>33495685.780000001</v>
      </c>
      <c r="E892" s="27">
        <v>18367373.090000004</v>
      </c>
      <c r="F892" s="27">
        <v>15128312.689999999</v>
      </c>
      <c r="G892" s="27">
        <f>VLOOKUP(A892,'[1]saldos al 26May26'!$C$2:$I$1010,7,FALSE)</f>
        <v>-2349451.65</v>
      </c>
      <c r="H892" s="27"/>
      <c r="I892" s="28"/>
      <c r="J892" s="29">
        <v>533247.19895463693</v>
      </c>
      <c r="K892" s="25" t="s">
        <v>40</v>
      </c>
      <c r="L892" s="25" t="s">
        <v>30</v>
      </c>
      <c r="M892" s="25" t="s">
        <v>50</v>
      </c>
      <c r="N892" s="25" t="s">
        <v>67</v>
      </c>
      <c r="O892" t="s">
        <v>67</v>
      </c>
      <c r="P892" s="32">
        <v>-837344.54</v>
      </c>
      <c r="Q892" s="30">
        <v>0</v>
      </c>
      <c r="R892" s="30">
        <v>50000</v>
      </c>
      <c r="S892" s="30" t="s">
        <v>63</v>
      </c>
      <c r="T892" s="57" t="s">
        <v>33</v>
      </c>
      <c r="U892" s="31" t="e">
        <v>#N/A</v>
      </c>
      <c r="V892" t="s">
        <v>34</v>
      </c>
      <c r="W892"/>
      <c r="Y892" t="e">
        <f>VLOOKUP(A892,[2]!PRGX[[#All],[Proveedor]],1,FALSE)</f>
        <v>#REF!</v>
      </c>
      <c r="Z892"/>
    </row>
    <row r="893" spans="1:26" s="42" customFormat="1" x14ac:dyDescent="0.25">
      <c r="A893" s="25">
        <v>390518</v>
      </c>
      <c r="B893" s="25" t="s">
        <v>915</v>
      </c>
      <c r="C893" s="26">
        <v>12703</v>
      </c>
      <c r="D893" s="27">
        <v>33070148.969999999</v>
      </c>
      <c r="E893" s="27">
        <v>28071147.68</v>
      </c>
      <c r="F893" s="27">
        <v>4999001.29</v>
      </c>
      <c r="G893" s="27">
        <f>VLOOKUP(A893,'[1]saldos al 26May26'!$C$2:$I$1010,7,FALSE)</f>
        <v>-3134861.35</v>
      </c>
      <c r="H893" s="27"/>
      <c r="I893" s="28"/>
      <c r="J893" s="29">
        <v>80474.281366834504</v>
      </c>
      <c r="K893" s="25" t="s">
        <v>40</v>
      </c>
      <c r="L893" s="25" t="s">
        <v>30</v>
      </c>
      <c r="M893" s="25" t="s">
        <v>31</v>
      </c>
      <c r="N893" s="25" t="s">
        <v>80</v>
      </c>
      <c r="O893" t="s">
        <v>80</v>
      </c>
      <c r="P893" s="30">
        <v>6131.3599999999979</v>
      </c>
      <c r="Q893" s="30">
        <v>34880.76</v>
      </c>
      <c r="R893" s="30"/>
      <c r="S893" s="30" t="e">
        <v>#N/A</v>
      </c>
      <c r="T893" t="s">
        <v>34</v>
      </c>
      <c r="U893" s="31" t="e">
        <v>#N/A</v>
      </c>
      <c r="V893" t="s">
        <v>34</v>
      </c>
      <c r="W893"/>
      <c r="Y893" t="e">
        <f>VLOOKUP(A893,[2]!PRGX[[#All],[Proveedor]],1,FALSE)</f>
        <v>#REF!</v>
      </c>
      <c r="Z893"/>
    </row>
    <row r="894" spans="1:26" x14ac:dyDescent="0.25">
      <c r="A894" s="25">
        <v>12995</v>
      </c>
      <c r="B894" s="25" t="s">
        <v>916</v>
      </c>
      <c r="C894" s="26">
        <v>5807</v>
      </c>
      <c r="D894" s="27">
        <v>33049320.434999999</v>
      </c>
      <c r="E894" s="27">
        <v>26723818.004999999</v>
      </c>
      <c r="F894" s="27">
        <v>6325502.4299999997</v>
      </c>
      <c r="G894" s="27">
        <f>VLOOKUP(A894,'[1]saldos al 26May26'!$C$2:$I$1010,7,FALSE)</f>
        <v>-778206.67</v>
      </c>
      <c r="H894" s="27"/>
      <c r="I894" s="28"/>
      <c r="J894" s="29">
        <v>501100.46315639035</v>
      </c>
      <c r="K894" s="25" t="s">
        <v>40</v>
      </c>
      <c r="L894" s="25" t="s">
        <v>30</v>
      </c>
      <c r="M894" s="25" t="s">
        <v>50</v>
      </c>
      <c r="N894" s="25" t="s">
        <v>67</v>
      </c>
      <c r="O894" t="s">
        <v>67</v>
      </c>
      <c r="P894" s="32">
        <v>-65316.6</v>
      </c>
      <c r="Q894" s="30">
        <v>2986.11</v>
      </c>
      <c r="R894" s="30">
        <v>83396.31</v>
      </c>
      <c r="S894" s="30" t="s">
        <v>63</v>
      </c>
      <c r="T894" s="57" t="s">
        <v>33</v>
      </c>
      <c r="U894" s="31" t="s">
        <v>33</v>
      </c>
      <c r="V894" t="s">
        <v>33</v>
      </c>
      <c r="Y894" t="e">
        <f>VLOOKUP(A894,[2]!PRGX[[#All],[Proveedor]],1,FALSE)</f>
        <v>#REF!</v>
      </c>
    </row>
    <row r="895" spans="1:26" x14ac:dyDescent="0.25">
      <c r="A895" s="25">
        <v>24332</v>
      </c>
      <c r="B895" s="25" t="s">
        <v>917</v>
      </c>
      <c r="C895" s="26">
        <v>21317</v>
      </c>
      <c r="D895" s="27">
        <v>33033777.636</v>
      </c>
      <c r="E895" s="27">
        <v>21543102.0064</v>
      </c>
      <c r="F895" s="27">
        <v>11490675.6296</v>
      </c>
      <c r="G895" s="27">
        <f>VLOOKUP(A895,'[1]saldos al 26May26'!$C$2:$I$1010,7,FALSE)</f>
        <v>-396618.2</v>
      </c>
      <c r="H895" s="27"/>
      <c r="I895" s="28"/>
      <c r="J895" s="29">
        <v>731715.14634652459</v>
      </c>
      <c r="K895" s="25" t="s">
        <v>40</v>
      </c>
      <c r="L895" s="25" t="s">
        <v>30</v>
      </c>
      <c r="M895" s="25" t="s">
        <v>50</v>
      </c>
      <c r="N895" s="25" t="s">
        <v>51</v>
      </c>
      <c r="O895" t="s">
        <v>51</v>
      </c>
      <c r="P895" s="30">
        <v>777215.87</v>
      </c>
      <c r="Q895" s="30">
        <v>0</v>
      </c>
      <c r="R895" s="30"/>
      <c r="S895" s="30" t="e">
        <v>#N/A</v>
      </c>
      <c r="T895" t="s">
        <v>34</v>
      </c>
      <c r="U895" s="31" t="e">
        <v>#N/A</v>
      </c>
      <c r="V895" t="s">
        <v>34</v>
      </c>
      <c r="Y895" t="e">
        <f>VLOOKUP(A895,[2]!PRGX[[#All],[Proveedor]],1,FALSE)</f>
        <v>#REF!</v>
      </c>
    </row>
    <row r="896" spans="1:26" x14ac:dyDescent="0.25">
      <c r="A896" s="25">
        <v>56051</v>
      </c>
      <c r="B896" s="25" t="s">
        <v>918</v>
      </c>
      <c r="C896" s="26">
        <v>15953</v>
      </c>
      <c r="D896" s="27">
        <v>32682891.510000002</v>
      </c>
      <c r="E896" s="27">
        <v>30943536.73</v>
      </c>
      <c r="F896" s="27">
        <v>1739354.78</v>
      </c>
      <c r="G896" s="27">
        <f>VLOOKUP(A896,'[1]saldos al 26May26'!$C$2:$I$1010,7,FALSE)</f>
        <v>-11610.28</v>
      </c>
      <c r="H896" s="27"/>
      <c r="I896" s="28"/>
      <c r="J896" s="29">
        <v>77266.88685445697</v>
      </c>
      <c r="K896" s="25" t="s">
        <v>40</v>
      </c>
      <c r="L896" s="25" t="s">
        <v>30</v>
      </c>
      <c r="M896" s="25" t="s">
        <v>31</v>
      </c>
      <c r="N896" s="25" t="s">
        <v>87</v>
      </c>
      <c r="O896" t="s">
        <v>87</v>
      </c>
      <c r="P896" s="30">
        <v>134404.62</v>
      </c>
      <c r="Q896" s="30">
        <v>0</v>
      </c>
      <c r="R896" s="30"/>
      <c r="S896" s="30" t="e">
        <v>#N/A</v>
      </c>
      <c r="T896" t="s">
        <v>34</v>
      </c>
      <c r="U896" s="31">
        <v>0</v>
      </c>
      <c r="V896" t="s">
        <v>42</v>
      </c>
      <c r="Y896" t="e">
        <f>VLOOKUP(A896,[2]!PRGX[[#All],[Proveedor]],1,FALSE)</f>
        <v>#REF!</v>
      </c>
    </row>
    <row r="897" spans="1:26" x14ac:dyDescent="0.25">
      <c r="A897" s="25">
        <v>23596</v>
      </c>
      <c r="B897" s="25" t="s">
        <v>919</v>
      </c>
      <c r="C897" s="26">
        <v>519</v>
      </c>
      <c r="D897" s="27">
        <v>32472089.3248</v>
      </c>
      <c r="E897" s="27">
        <v>28770279.524799999</v>
      </c>
      <c r="F897" s="27">
        <v>3701809.8</v>
      </c>
      <c r="G897" s="27">
        <f>VLOOKUP(A897,'[1]saldos al 26May26'!$C$2:$I$1010,7,FALSE)</f>
        <v>0</v>
      </c>
      <c r="H897" s="39" t="s">
        <v>54</v>
      </c>
      <c r="I897" s="28"/>
      <c r="J897" s="29">
        <v>489425.65420383937</v>
      </c>
      <c r="K897" s="25" t="s">
        <v>40</v>
      </c>
      <c r="L897" s="25" t="s">
        <v>30</v>
      </c>
      <c r="M897" s="36" t="s">
        <v>55</v>
      </c>
      <c r="N897" s="25" t="s">
        <v>80</v>
      </c>
      <c r="O897" t="s">
        <v>80</v>
      </c>
      <c r="P897" s="32">
        <v>-43599.47</v>
      </c>
      <c r="Q897" s="30">
        <v>0</v>
      </c>
      <c r="R897" s="30"/>
      <c r="S897" s="30" t="e">
        <v>#N/A</v>
      </c>
      <c r="T897" t="s">
        <v>34</v>
      </c>
      <c r="U897" s="31" t="e">
        <v>#N/A</v>
      </c>
      <c r="V897" t="s">
        <v>34</v>
      </c>
      <c r="W897" s="42"/>
      <c r="Y897" t="e">
        <f>VLOOKUP(A897,[2]!PRGX[[#All],[Proveedor]],1,FALSE)</f>
        <v>#REF!</v>
      </c>
    </row>
    <row r="898" spans="1:26" x14ac:dyDescent="0.25">
      <c r="A898" s="36">
        <v>543157</v>
      </c>
      <c r="B898" s="36" t="s">
        <v>920</v>
      </c>
      <c r="C898" s="37">
        <v>1622</v>
      </c>
      <c r="D898" s="38">
        <v>32470829.059999999</v>
      </c>
      <c r="E898" s="38">
        <v>27455133.149999999</v>
      </c>
      <c r="F898" s="38">
        <v>5015695.91</v>
      </c>
      <c r="G898" s="38" t="e">
        <f>VLOOKUP(A898,'[1]saldos al 26May26'!$C$2:$I$1010,7,FALSE)</f>
        <v>#N/A</v>
      </c>
      <c r="H898" s="39" t="s">
        <v>54</v>
      </c>
      <c r="I898" s="40" t="s">
        <v>27</v>
      </c>
      <c r="J898" s="41"/>
      <c r="K898" s="36" t="s">
        <v>29</v>
      </c>
      <c r="L898" s="36" t="s">
        <v>30</v>
      </c>
      <c r="M898" s="36" t="s">
        <v>55</v>
      </c>
      <c r="N898" s="25"/>
      <c r="O898" s="42" t="s">
        <v>47</v>
      </c>
      <c r="P898" s="30">
        <v>4770443.62</v>
      </c>
      <c r="Q898" s="30">
        <v>4541442.7300000004</v>
      </c>
      <c r="R898" s="30"/>
      <c r="S898" s="30" t="s">
        <v>33</v>
      </c>
      <c r="T898" t="s">
        <v>33</v>
      </c>
      <c r="U898" s="31" t="e">
        <v>#N/A</v>
      </c>
      <c r="V898" t="s">
        <v>34</v>
      </c>
      <c r="Y898" t="e">
        <f>VLOOKUP(A898,[2]!PRGX[[#All],[Proveedor]],1,FALSE)</f>
        <v>#REF!</v>
      </c>
      <c r="Z898">
        <v>543157</v>
      </c>
    </row>
    <row r="899" spans="1:26" x14ac:dyDescent="0.25">
      <c r="A899" s="25">
        <v>15331</v>
      </c>
      <c r="B899" s="25" t="s">
        <v>921</v>
      </c>
      <c r="C899" s="26">
        <v>11357</v>
      </c>
      <c r="D899" s="27">
        <v>32434313.219999999</v>
      </c>
      <c r="E899" s="27">
        <v>22490713.77</v>
      </c>
      <c r="F899" s="27">
        <v>9943599.4499999993</v>
      </c>
      <c r="G899" s="27">
        <f>VLOOKUP(A899,'[1]saldos al 26May26'!$C$2:$I$1010,7,FALSE)</f>
        <v>-486907.36</v>
      </c>
      <c r="H899" s="27"/>
      <c r="I899" s="28"/>
      <c r="J899" s="29">
        <v>34573.879385955501</v>
      </c>
      <c r="K899" s="25" t="s">
        <v>40</v>
      </c>
      <c r="L899" s="25" t="s">
        <v>30</v>
      </c>
      <c r="M899" s="25" t="s">
        <v>55</v>
      </c>
      <c r="N899" s="25" t="s">
        <v>51</v>
      </c>
      <c r="O899" t="s">
        <v>51</v>
      </c>
      <c r="P899" s="32">
        <v>-101457.25</v>
      </c>
      <c r="Q899" s="30">
        <v>0</v>
      </c>
      <c r="R899" s="30"/>
      <c r="S899" s="30" t="e">
        <v>#N/A</v>
      </c>
      <c r="T899" t="s">
        <v>34</v>
      </c>
      <c r="U899" s="31">
        <v>0</v>
      </c>
      <c r="V899" t="s">
        <v>42</v>
      </c>
      <c r="Y899" t="e">
        <f>VLOOKUP(A899,[2]!PRGX[[#All],[Proveedor]],1,FALSE)</f>
        <v>#REF!</v>
      </c>
    </row>
    <row r="900" spans="1:26" x14ac:dyDescent="0.25">
      <c r="A900" s="52">
        <v>332296</v>
      </c>
      <c r="B900" s="52" t="s">
        <v>922</v>
      </c>
      <c r="C900" s="53">
        <v>8561</v>
      </c>
      <c r="D900" s="54">
        <v>32327234.09</v>
      </c>
      <c r="E900" s="27">
        <v>23053518.869999997</v>
      </c>
      <c r="F900" s="27">
        <v>9273715.2200000007</v>
      </c>
      <c r="G900" s="54">
        <f>VLOOKUP(A900,'[1]saldos al 26May26'!$C$2:$I$1010,7,FALSE)</f>
        <v>-1825746.86</v>
      </c>
      <c r="H900" s="54"/>
      <c r="I900" s="55"/>
      <c r="J900" s="56">
        <v>369000.68276373798</v>
      </c>
      <c r="K900" s="52" t="s">
        <v>40</v>
      </c>
      <c r="L900" s="52" t="s">
        <v>30</v>
      </c>
      <c r="M900" s="52" t="s">
        <v>50</v>
      </c>
      <c r="N900" s="52" t="s">
        <v>87</v>
      </c>
      <c r="O900" s="57" t="s">
        <v>87</v>
      </c>
      <c r="P900" s="59">
        <v>-433695.19000000006</v>
      </c>
      <c r="Q900" s="58">
        <v>0</v>
      </c>
      <c r="R900" s="30"/>
      <c r="S900" s="30" t="e">
        <v>#N/A</v>
      </c>
      <c r="T900" s="57" t="s">
        <v>34</v>
      </c>
      <c r="U900" s="31" t="e">
        <v>#N/A</v>
      </c>
      <c r="V900" s="57" t="s">
        <v>34</v>
      </c>
      <c r="X900" t="s">
        <v>43</v>
      </c>
      <c r="Y900" t="e">
        <f>VLOOKUP(A900,[2]!PRGX[[#All],[Proveedor]],1,FALSE)</f>
        <v>#REF!</v>
      </c>
    </row>
    <row r="901" spans="1:26" x14ac:dyDescent="0.25">
      <c r="A901" s="25">
        <v>69310</v>
      </c>
      <c r="B901" s="25" t="s">
        <v>923</v>
      </c>
      <c r="C901" s="26">
        <v>8723</v>
      </c>
      <c r="D901" s="27">
        <v>31962735.09</v>
      </c>
      <c r="E901" s="27">
        <v>28493963.940000001</v>
      </c>
      <c r="F901" s="27">
        <v>3468771.15</v>
      </c>
      <c r="G901" s="27">
        <f>VLOOKUP(A901,'[1]saldos al 26May26'!$C$2:$I$1010,7,FALSE)</f>
        <v>-572079.39</v>
      </c>
      <c r="H901" s="27"/>
      <c r="I901" s="28"/>
      <c r="J901" s="29">
        <v>644065.12032119348</v>
      </c>
      <c r="K901" s="25" t="s">
        <v>40</v>
      </c>
      <c r="L901" s="25" t="s">
        <v>30</v>
      </c>
      <c r="M901" s="25" t="s">
        <v>50</v>
      </c>
      <c r="N901" s="25" t="s">
        <v>87</v>
      </c>
      <c r="O901" t="s">
        <v>87</v>
      </c>
      <c r="P901" s="32">
        <v>-41789.46</v>
      </c>
      <c r="Q901" s="30">
        <v>141626.67000000001</v>
      </c>
      <c r="R901" s="30"/>
      <c r="S901" s="30" t="e">
        <v>#N/A</v>
      </c>
      <c r="T901" t="s">
        <v>34</v>
      </c>
      <c r="U901" s="31" t="e">
        <v>#N/A</v>
      </c>
      <c r="V901" t="s">
        <v>34</v>
      </c>
      <c r="Y901" t="e">
        <f>VLOOKUP(A901,[2]!PRGX[[#All],[Proveedor]],1,FALSE)</f>
        <v>#REF!</v>
      </c>
    </row>
    <row r="902" spans="1:26" x14ac:dyDescent="0.25">
      <c r="A902" s="25">
        <v>13773</v>
      </c>
      <c r="B902" s="25" t="s">
        <v>924</v>
      </c>
      <c r="C902" s="26">
        <v>17017</v>
      </c>
      <c r="D902" s="27">
        <v>31919168.600000001</v>
      </c>
      <c r="E902" s="27">
        <v>28098433.830000002</v>
      </c>
      <c r="F902" s="27">
        <v>3820734.77</v>
      </c>
      <c r="G902" s="27">
        <f>VLOOKUP(A902,'[1]saldos al 26May26'!$C$2:$I$1010,7,FALSE)</f>
        <v>158247.06</v>
      </c>
      <c r="H902" s="39" t="s">
        <v>54</v>
      </c>
      <c r="I902" s="28"/>
      <c r="J902" s="29"/>
      <c r="K902" s="25" t="s">
        <v>29</v>
      </c>
      <c r="L902" s="25" t="s">
        <v>30</v>
      </c>
      <c r="M902" s="36" t="s">
        <v>55</v>
      </c>
      <c r="N902" s="25"/>
      <c r="O902" t="s">
        <v>70</v>
      </c>
      <c r="P902" s="32">
        <v>-51259.7</v>
      </c>
      <c r="Q902" s="30">
        <v>0</v>
      </c>
      <c r="R902" s="30"/>
      <c r="S902" s="30" t="s">
        <v>63</v>
      </c>
      <c r="T902" t="s">
        <v>33</v>
      </c>
      <c r="U902" s="31">
        <v>0</v>
      </c>
      <c r="V902" t="s">
        <v>42</v>
      </c>
      <c r="Y902" t="e">
        <f>VLOOKUP(A902,[2]!PRGX[[#All],[Proveedor]],1,FALSE)</f>
        <v>#REF!</v>
      </c>
    </row>
    <row r="903" spans="1:26" x14ac:dyDescent="0.25">
      <c r="A903" s="25">
        <v>836</v>
      </c>
      <c r="B903" s="25" t="s">
        <v>925</v>
      </c>
      <c r="C903" s="26">
        <v>3972</v>
      </c>
      <c r="D903" s="27">
        <v>31076776.107999999</v>
      </c>
      <c r="E903" s="27">
        <v>27961784.908</v>
      </c>
      <c r="F903" s="27">
        <v>3114991.2</v>
      </c>
      <c r="G903" s="27">
        <f>VLOOKUP(A903,'[1]saldos al 26May26'!$C$2:$I$1010,7,FALSE)</f>
        <v>-198120.52</v>
      </c>
      <c r="H903" s="27"/>
      <c r="I903" s="28"/>
      <c r="J903" s="29">
        <v>748108.72383364593</v>
      </c>
      <c r="K903" s="25" t="s">
        <v>40</v>
      </c>
      <c r="L903" s="25" t="s">
        <v>30</v>
      </c>
      <c r="M903" s="25" t="s">
        <v>50</v>
      </c>
      <c r="N903" s="25" t="s">
        <v>36</v>
      </c>
      <c r="O903" t="s">
        <v>36</v>
      </c>
      <c r="P903" s="32">
        <v>-35550.730000000003</v>
      </c>
      <c r="Q903" s="30">
        <v>28203.84</v>
      </c>
      <c r="R903" s="30"/>
      <c r="S903" s="30" t="s">
        <v>63</v>
      </c>
      <c r="T903" t="s">
        <v>33</v>
      </c>
      <c r="U903" s="31" t="s">
        <v>33</v>
      </c>
      <c r="V903" t="s">
        <v>33</v>
      </c>
      <c r="Y903" t="e">
        <f>VLOOKUP(A903,[2]!PRGX[[#All],[Proveedor]],1,FALSE)</f>
        <v>#REF!</v>
      </c>
    </row>
    <row r="904" spans="1:26" s="42" customFormat="1" x14ac:dyDescent="0.25">
      <c r="A904" s="25">
        <v>10948</v>
      </c>
      <c r="B904" s="25" t="s">
        <v>926</v>
      </c>
      <c r="C904" s="26">
        <v>5359</v>
      </c>
      <c r="D904" s="27">
        <v>30797860.370000001</v>
      </c>
      <c r="E904" s="27">
        <v>27582276.650000002</v>
      </c>
      <c r="F904" s="27">
        <v>3215583.72</v>
      </c>
      <c r="G904" s="27">
        <f>VLOOKUP(A904,'[1]saldos al 26May26'!$C$2:$I$1010,7,FALSE)</f>
        <v>31790.32</v>
      </c>
      <c r="H904" s="39" t="s">
        <v>54</v>
      </c>
      <c r="I904" s="28"/>
      <c r="J904" s="29">
        <v>35536.237862419999</v>
      </c>
      <c r="K904" s="25" t="s">
        <v>40</v>
      </c>
      <c r="L904" s="25" t="s">
        <v>30</v>
      </c>
      <c r="M904" s="25" t="s">
        <v>55</v>
      </c>
      <c r="N904" s="25" t="s">
        <v>80</v>
      </c>
      <c r="O904" t="s">
        <v>80</v>
      </c>
      <c r="P904" s="30">
        <v>2848349.9</v>
      </c>
      <c r="Q904" s="30">
        <v>1820476.5</v>
      </c>
      <c r="R904" s="30"/>
      <c r="S904" s="30" t="e">
        <v>#N/A</v>
      </c>
      <c r="T904" t="s">
        <v>34</v>
      </c>
      <c r="U904" s="31" t="e">
        <v>#N/A</v>
      </c>
      <c r="V904" t="s">
        <v>34</v>
      </c>
      <c r="W904"/>
      <c r="Y904" t="e">
        <f>VLOOKUP(A904,[2]!PRGX[[#All],[Proveedor]],1,FALSE)</f>
        <v>#REF!</v>
      </c>
      <c r="Z904"/>
    </row>
    <row r="905" spans="1:26" x14ac:dyDescent="0.25">
      <c r="A905" s="25">
        <v>22007</v>
      </c>
      <c r="B905" s="25" t="s">
        <v>927</v>
      </c>
      <c r="C905" s="26">
        <v>8358</v>
      </c>
      <c r="D905" s="27">
        <v>30560123.34</v>
      </c>
      <c r="E905" s="27">
        <v>23836671.969999999</v>
      </c>
      <c r="F905" s="27">
        <v>6723451.3700000001</v>
      </c>
      <c r="G905" s="27">
        <f>VLOOKUP(A905,'[1]saldos al 26May26'!$C$2:$I$1010,7,FALSE)</f>
        <v>-1558305.83</v>
      </c>
      <c r="H905" s="27"/>
      <c r="I905" s="28"/>
      <c r="J905" s="29">
        <v>95934.060390285493</v>
      </c>
      <c r="K905" s="25" t="s">
        <v>40</v>
      </c>
      <c r="L905" s="25" t="s">
        <v>30</v>
      </c>
      <c r="M905" s="25" t="s">
        <v>55</v>
      </c>
      <c r="N905" s="25" t="s">
        <v>80</v>
      </c>
      <c r="O905" t="s">
        <v>80</v>
      </c>
      <c r="P905" s="32">
        <v>-16515.34</v>
      </c>
      <c r="Q905" s="30">
        <v>0</v>
      </c>
      <c r="R905" s="30">
        <v>40921.06</v>
      </c>
      <c r="S905" s="30" t="e">
        <v>#N/A</v>
      </c>
      <c r="T905" t="s">
        <v>34</v>
      </c>
      <c r="U905" s="31" t="e">
        <v>#N/A</v>
      </c>
      <c r="V905" t="s">
        <v>34</v>
      </c>
      <c r="Y905" t="e">
        <f>VLOOKUP(A905,[2]!PRGX[[#All],[Proveedor]],1,FALSE)</f>
        <v>#REF!</v>
      </c>
    </row>
    <row r="906" spans="1:26" x14ac:dyDescent="0.25">
      <c r="A906" s="52">
        <v>24509</v>
      </c>
      <c r="B906" s="52" t="s">
        <v>928</v>
      </c>
      <c r="C906" s="53">
        <v>762</v>
      </c>
      <c r="D906" s="54">
        <v>30486795</v>
      </c>
      <c r="E906" s="27">
        <v>13404792</v>
      </c>
      <c r="F906" s="27">
        <v>17082003</v>
      </c>
      <c r="G906" s="54">
        <f>VLOOKUP(A906,'[1]saldos al 26May26'!$C$2:$I$1010,7,FALSE)</f>
        <v>-7426013.7999999998</v>
      </c>
      <c r="H906" s="54"/>
      <c r="I906" s="55"/>
      <c r="J906" s="56">
        <v>583890.45908866008</v>
      </c>
      <c r="K906" s="52" t="s">
        <v>40</v>
      </c>
      <c r="L906" s="52" t="s">
        <v>30</v>
      </c>
      <c r="M906" s="52" t="s">
        <v>50</v>
      </c>
      <c r="N906" s="52" t="s">
        <v>80</v>
      </c>
      <c r="O906" s="57" t="s">
        <v>80</v>
      </c>
      <c r="P906" s="59">
        <v>-108576</v>
      </c>
      <c r="Q906" s="58">
        <v>0</v>
      </c>
      <c r="R906" s="30"/>
      <c r="S906" s="30" t="s">
        <v>63</v>
      </c>
      <c r="T906" s="57" t="s">
        <v>33</v>
      </c>
      <c r="U906" s="31" t="s">
        <v>33</v>
      </c>
      <c r="V906" t="s">
        <v>33</v>
      </c>
      <c r="Y906" t="e">
        <f>VLOOKUP(A906,[2]!PRGX[[#All],[Proveedor]],1,FALSE)</f>
        <v>#REF!</v>
      </c>
    </row>
    <row r="907" spans="1:26" x14ac:dyDescent="0.25">
      <c r="A907" s="25">
        <v>317909</v>
      </c>
      <c r="B907" s="25" t="s">
        <v>929</v>
      </c>
      <c r="C907" s="49">
        <v>9598</v>
      </c>
      <c r="D907" s="50">
        <v>29595311.52</v>
      </c>
      <c r="E907" s="27">
        <v>24997697.52</v>
      </c>
      <c r="F907" s="27">
        <v>4597614</v>
      </c>
      <c r="G907" s="50">
        <f>VLOOKUP(A907,'[1]saldos al 26May26'!$C$2:$I$1010,7,FALSE)</f>
        <v>-453764.2</v>
      </c>
      <c r="H907" s="50"/>
      <c r="I907" s="28"/>
      <c r="J907" s="51">
        <v>420112.73380000005</v>
      </c>
      <c r="K907" s="25" t="s">
        <v>40</v>
      </c>
      <c r="L907" s="25" t="s">
        <v>30</v>
      </c>
      <c r="M907" s="25" t="s">
        <v>50</v>
      </c>
      <c r="N907" s="25" t="s">
        <v>41</v>
      </c>
      <c r="O907" t="s">
        <v>41</v>
      </c>
      <c r="P907" s="60">
        <v>-2858.95</v>
      </c>
      <c r="Q907" s="61">
        <v>10608</v>
      </c>
      <c r="R907" s="30"/>
      <c r="S907" s="30" t="s">
        <v>63</v>
      </c>
      <c r="T907" s="57" t="s">
        <v>33</v>
      </c>
      <c r="U907" s="31" t="s">
        <v>33</v>
      </c>
      <c r="V907" t="s">
        <v>33</v>
      </c>
      <c r="Y907" t="e">
        <f>VLOOKUP(A907,[2]!PRGX[[#All],[Proveedor]],1,FALSE)</f>
        <v>#REF!</v>
      </c>
    </row>
    <row r="908" spans="1:26" x14ac:dyDescent="0.25">
      <c r="A908" s="25">
        <v>384123</v>
      </c>
      <c r="B908" s="25" t="s">
        <v>930</v>
      </c>
      <c r="C908" s="26">
        <v>497</v>
      </c>
      <c r="D908" s="27">
        <v>155645953.46000001</v>
      </c>
      <c r="E908" s="27">
        <v>110932097.30000001</v>
      </c>
      <c r="F908" s="27">
        <v>44713856.159999996</v>
      </c>
      <c r="G908" s="27">
        <f>VLOOKUP(A908,'[1]saldos al 26May26'!$C$2:$I$1010,7,FALSE)</f>
        <v>-2211683.35</v>
      </c>
      <c r="H908" s="27"/>
      <c r="I908" s="28"/>
      <c r="J908" s="29"/>
      <c r="K908" s="25" t="s">
        <v>29</v>
      </c>
      <c r="L908" s="25" t="s">
        <v>30</v>
      </c>
      <c r="M908" s="25" t="s">
        <v>31</v>
      </c>
      <c r="N908" s="25"/>
      <c r="O908" t="s">
        <v>56</v>
      </c>
      <c r="P908" s="32">
        <v>-2555600</v>
      </c>
      <c r="Q908" s="30">
        <v>0</v>
      </c>
      <c r="R908" s="30">
        <v>13920</v>
      </c>
      <c r="S908" s="30" t="s">
        <v>63</v>
      </c>
      <c r="T908" t="s">
        <v>33</v>
      </c>
      <c r="U908" s="31" t="e">
        <v>#N/A</v>
      </c>
      <c r="V908" t="s">
        <v>34</v>
      </c>
      <c r="Y908" t="e">
        <f>VLOOKUP(A908,[2]!PRGX[[#All],[Proveedor]],1,FALSE)</f>
        <v>#REF!</v>
      </c>
    </row>
    <row r="909" spans="1:26" x14ac:dyDescent="0.25">
      <c r="A909" s="25">
        <v>779</v>
      </c>
      <c r="B909" s="25" t="s">
        <v>931</v>
      </c>
      <c r="C909" s="26">
        <v>128</v>
      </c>
      <c r="D909" s="27">
        <v>29386666.399999999</v>
      </c>
      <c r="E909" s="27">
        <v>27711326.399999999</v>
      </c>
      <c r="F909" s="27">
        <v>1675340</v>
      </c>
      <c r="G909" s="27">
        <f>VLOOKUP(A909,'[1]saldos al 26May26'!$C$2:$I$1010,7,FALSE)</f>
        <v>3900</v>
      </c>
      <c r="H909" s="39" t="s">
        <v>54</v>
      </c>
      <c r="I909" s="28"/>
      <c r="J909" s="29">
        <v>470624.35875000001</v>
      </c>
      <c r="K909" s="25" t="s">
        <v>40</v>
      </c>
      <c r="L909" s="25" t="s">
        <v>30</v>
      </c>
      <c r="M909" s="36" t="s">
        <v>55</v>
      </c>
      <c r="N909" s="25" t="s">
        <v>36</v>
      </c>
      <c r="O909" t="s">
        <v>36</v>
      </c>
      <c r="P909" s="32">
        <v>-93646.8</v>
      </c>
      <c r="Q909" s="30">
        <v>0</v>
      </c>
      <c r="R909" s="30"/>
      <c r="S909" s="30" t="e">
        <v>#N/A</v>
      </c>
      <c r="T909" t="s">
        <v>34</v>
      </c>
      <c r="U909" s="31" t="e">
        <v>#N/A</v>
      </c>
      <c r="V909" t="s">
        <v>34</v>
      </c>
      <c r="Y909" t="e">
        <f>VLOOKUP(A909,[2]!PRGX[[#All],[Proveedor]],1,FALSE)</f>
        <v>#REF!</v>
      </c>
    </row>
    <row r="910" spans="1:26" x14ac:dyDescent="0.25">
      <c r="A910" s="25">
        <v>13611</v>
      </c>
      <c r="B910" s="25" t="s">
        <v>932</v>
      </c>
      <c r="C910" s="26">
        <v>7047</v>
      </c>
      <c r="D910" s="27">
        <v>29173632.41</v>
      </c>
      <c r="E910" s="27">
        <v>27393164.210000001</v>
      </c>
      <c r="F910" s="27">
        <v>1780468.2</v>
      </c>
      <c r="G910" s="27">
        <f>VLOOKUP(A910,'[1]saldos al 26May26'!$C$2:$I$1010,7,FALSE)</f>
        <v>-56276.09</v>
      </c>
      <c r="H910" s="27"/>
      <c r="I910" s="28"/>
      <c r="J910" s="29">
        <v>29877.935193159996</v>
      </c>
      <c r="K910" s="25" t="s">
        <v>40</v>
      </c>
      <c r="L910" s="25" t="s">
        <v>30</v>
      </c>
      <c r="M910" s="25" t="s">
        <v>55</v>
      </c>
      <c r="N910" s="25" t="s">
        <v>87</v>
      </c>
      <c r="O910" t="s">
        <v>87</v>
      </c>
      <c r="P910" s="32">
        <v>-890.51999999999975</v>
      </c>
      <c r="Q910" s="30">
        <v>0</v>
      </c>
      <c r="R910" s="30"/>
      <c r="S910" s="30" t="e">
        <v>#N/A</v>
      </c>
      <c r="T910" t="s">
        <v>34</v>
      </c>
      <c r="U910" s="31" t="e">
        <v>#N/A</v>
      </c>
      <c r="V910" t="s">
        <v>34</v>
      </c>
      <c r="Y910" t="e">
        <f>VLOOKUP(A910,[2]!PRGX[[#All],[Proveedor]],1,FALSE)</f>
        <v>#REF!</v>
      </c>
    </row>
    <row r="911" spans="1:26" x14ac:dyDescent="0.25">
      <c r="A911" s="25">
        <v>327049</v>
      </c>
      <c r="B911" s="25" t="s">
        <v>933</v>
      </c>
      <c r="C911" s="26">
        <v>1290</v>
      </c>
      <c r="D911" s="27">
        <v>29040675.84</v>
      </c>
      <c r="E911" s="27">
        <v>25859426.890000001</v>
      </c>
      <c r="F911" s="27">
        <v>3181248.95</v>
      </c>
      <c r="G911" s="27">
        <f>VLOOKUP(A911,'[1]saldos al 26May26'!$C$2:$I$1010,7,FALSE)</f>
        <v>0</v>
      </c>
      <c r="H911" s="39" t="s">
        <v>54</v>
      </c>
      <c r="I911" s="28"/>
      <c r="J911" s="29">
        <v>34686.586500000005</v>
      </c>
      <c r="K911" s="25" t="s">
        <v>40</v>
      </c>
      <c r="L911" s="25" t="s">
        <v>30</v>
      </c>
      <c r="M911" s="25" t="s">
        <v>55</v>
      </c>
      <c r="N911" s="25" t="s">
        <v>47</v>
      </c>
      <c r="O911" t="s">
        <v>47</v>
      </c>
      <c r="P911" s="32">
        <v>-169169.44</v>
      </c>
      <c r="Q911" s="30">
        <v>235638.93</v>
      </c>
      <c r="R911" s="30"/>
      <c r="S911" s="30" t="e">
        <v>#N/A</v>
      </c>
      <c r="T911" t="s">
        <v>34</v>
      </c>
      <c r="U911" s="31">
        <v>0</v>
      </c>
      <c r="V911" t="s">
        <v>42</v>
      </c>
      <c r="Y911" t="e">
        <f>VLOOKUP(A911,[2]!PRGX[[#All],[Proveedor]],1,FALSE)</f>
        <v>#REF!</v>
      </c>
    </row>
    <row r="912" spans="1:26" x14ac:dyDescent="0.25">
      <c r="A912" s="25">
        <v>398511</v>
      </c>
      <c r="B912" s="25" t="s">
        <v>934</v>
      </c>
      <c r="C912" s="26">
        <v>1113</v>
      </c>
      <c r="D912" s="27">
        <v>28189200.399999999</v>
      </c>
      <c r="E912" s="27">
        <v>25803550</v>
      </c>
      <c r="F912" s="27">
        <v>2385650.4</v>
      </c>
      <c r="G912" s="27">
        <f>VLOOKUP(A912,'[1]saldos al 26May26'!$C$2:$I$1010,7,FALSE)</f>
        <v>-676616.4</v>
      </c>
      <c r="H912" s="27"/>
      <c r="I912" s="28"/>
      <c r="J912" s="29">
        <v>1519727.5328160678</v>
      </c>
      <c r="K912" s="25" t="s">
        <v>40</v>
      </c>
      <c r="L912" s="25" t="s">
        <v>30</v>
      </c>
      <c r="M912" s="25" t="s">
        <v>61</v>
      </c>
      <c r="N912" s="25" t="s">
        <v>41</v>
      </c>
      <c r="O912" t="s">
        <v>41</v>
      </c>
      <c r="P912" s="32">
        <v>-18660.559999999998</v>
      </c>
      <c r="Q912" s="30">
        <v>297745.2</v>
      </c>
      <c r="R912" s="30"/>
      <c r="S912" s="30" t="s">
        <v>63</v>
      </c>
      <c r="T912" t="s">
        <v>33</v>
      </c>
      <c r="U912" s="31" t="s">
        <v>33</v>
      </c>
      <c r="V912" t="s">
        <v>33</v>
      </c>
      <c r="Y912" t="e">
        <f>VLOOKUP(A912,[2]!PRGX[[#All],[Proveedor]],1,FALSE)</f>
        <v>#REF!</v>
      </c>
    </row>
    <row r="913" spans="1:26" x14ac:dyDescent="0.25">
      <c r="A913" s="25">
        <v>321141</v>
      </c>
      <c r="B913" s="25" t="s">
        <v>935</v>
      </c>
      <c r="C913" s="26">
        <v>3514</v>
      </c>
      <c r="D913" s="27">
        <v>28020694.989999998</v>
      </c>
      <c r="E913" s="27">
        <v>23824766.649999999</v>
      </c>
      <c r="F913" s="27">
        <v>4195928.34</v>
      </c>
      <c r="G913" s="27">
        <f>VLOOKUP(A913,'[1]saldos al 26May26'!$C$2:$I$1010,7,FALSE)</f>
        <v>-441878.63</v>
      </c>
      <c r="H913" s="27"/>
      <c r="I913" s="28"/>
      <c r="J913" s="29">
        <v>51556.733544272</v>
      </c>
      <c r="K913" s="25" t="s">
        <v>40</v>
      </c>
      <c r="L913" s="25" t="s">
        <v>30</v>
      </c>
      <c r="M913" s="25" t="s">
        <v>55</v>
      </c>
      <c r="N913" s="25" t="s">
        <v>47</v>
      </c>
      <c r="O913" t="s">
        <v>47</v>
      </c>
      <c r="P913" s="32">
        <v>-152200.84</v>
      </c>
      <c r="Q913" s="30">
        <v>0</v>
      </c>
      <c r="R913" s="30">
        <v>214950.59</v>
      </c>
      <c r="S913" s="30" t="e">
        <v>#N/A</v>
      </c>
      <c r="T913" t="s">
        <v>34</v>
      </c>
      <c r="U913" s="31" t="e">
        <v>#N/A</v>
      </c>
      <c r="V913" t="s">
        <v>34</v>
      </c>
      <c r="Y913" t="e">
        <f>VLOOKUP(A913,[2]!PRGX[[#All],[Proveedor]],1,FALSE)</f>
        <v>#REF!</v>
      </c>
    </row>
    <row r="914" spans="1:26" x14ac:dyDescent="0.25">
      <c r="A914" s="25">
        <v>11716</v>
      </c>
      <c r="B914" s="25" t="s">
        <v>936</v>
      </c>
      <c r="C914" s="26">
        <v>6641</v>
      </c>
      <c r="D914" s="27">
        <v>27924018.440000001</v>
      </c>
      <c r="E914" s="27">
        <v>22807410</v>
      </c>
      <c r="F914" s="27">
        <v>5116608.4400000004</v>
      </c>
      <c r="G914" s="27">
        <f>VLOOKUP(A914,'[1]saldos al 26May26'!$C$2:$I$1010,7,FALSE)</f>
        <v>-730711.87</v>
      </c>
      <c r="H914" s="27"/>
      <c r="I914" s="28"/>
      <c r="J914" s="29">
        <v>1724425.0681374089</v>
      </c>
      <c r="K914" s="25" t="s">
        <v>40</v>
      </c>
      <c r="L914" s="25" t="s">
        <v>30</v>
      </c>
      <c r="M914" s="25" t="s">
        <v>59</v>
      </c>
      <c r="N914" s="25" t="s">
        <v>67</v>
      </c>
      <c r="O914" t="s">
        <v>67</v>
      </c>
      <c r="P914" s="32">
        <v>-58665</v>
      </c>
      <c r="Q914" s="30">
        <v>0</v>
      </c>
      <c r="R914" s="30"/>
      <c r="S914" s="30" t="s">
        <v>63</v>
      </c>
      <c r="T914" s="57" t="s">
        <v>33</v>
      </c>
      <c r="U914" s="31" t="e">
        <v>#N/A</v>
      </c>
      <c r="V914" t="s">
        <v>34</v>
      </c>
      <c r="Y914" t="e">
        <f>VLOOKUP(A914,[2]!PRGX[[#All],[Proveedor]],1,FALSE)</f>
        <v>#REF!</v>
      </c>
    </row>
    <row r="915" spans="1:26" x14ac:dyDescent="0.25">
      <c r="A915" s="25">
        <v>66746</v>
      </c>
      <c r="B915" s="25" t="s">
        <v>937</v>
      </c>
      <c r="C915" s="26">
        <v>1840</v>
      </c>
      <c r="D915" s="27">
        <v>27719943.800000001</v>
      </c>
      <c r="E915" s="27">
        <v>22018372.200000003</v>
      </c>
      <c r="F915" s="27">
        <v>5701571.5999999996</v>
      </c>
      <c r="G915" s="27">
        <f>VLOOKUP(A915,'[1]saldos al 26May26'!$C$2:$I$1010,7,FALSE)</f>
        <v>-538395.26</v>
      </c>
      <c r="H915" s="27"/>
      <c r="I915" s="28"/>
      <c r="J915" s="29">
        <v>101844.29785109</v>
      </c>
      <c r="K915" s="25" t="s">
        <v>40</v>
      </c>
      <c r="L915" s="25" t="s">
        <v>30</v>
      </c>
      <c r="M915" s="25" t="s">
        <v>55</v>
      </c>
      <c r="N915" s="25" t="s">
        <v>36</v>
      </c>
      <c r="O915" t="s">
        <v>36</v>
      </c>
      <c r="P915" s="30">
        <v>0</v>
      </c>
      <c r="Q915" s="30">
        <v>0</v>
      </c>
      <c r="R915" s="30"/>
      <c r="S915" s="30" t="e">
        <v>#N/A</v>
      </c>
      <c r="T915" t="s">
        <v>34</v>
      </c>
      <c r="U915" s="31" t="e">
        <v>#N/A</v>
      </c>
      <c r="V915" t="s">
        <v>34</v>
      </c>
      <c r="Y915" t="e">
        <f>VLOOKUP(A915,[2]!PRGX[[#All],[Proveedor]],1,FALSE)</f>
        <v>#REF!</v>
      </c>
    </row>
    <row r="916" spans="1:26" x14ac:dyDescent="0.25">
      <c r="A916" s="25">
        <v>19196</v>
      </c>
      <c r="B916" s="25" t="s">
        <v>938</v>
      </c>
      <c r="C916" s="26">
        <v>7087</v>
      </c>
      <c r="D916" s="27">
        <v>27604014.210000001</v>
      </c>
      <c r="E916" s="27">
        <v>22119780.34</v>
      </c>
      <c r="F916" s="27">
        <v>5484233.8700000001</v>
      </c>
      <c r="G916" s="27">
        <f>VLOOKUP(A916,'[1]saldos al 26May26'!$C$2:$I$1010,7,FALSE)</f>
        <v>-1504794.94</v>
      </c>
      <c r="H916" s="27"/>
      <c r="I916" s="28"/>
      <c r="J916" s="29">
        <v>60787.419161997997</v>
      </c>
      <c r="K916" s="25" t="s">
        <v>40</v>
      </c>
      <c r="L916" s="25" t="s">
        <v>30</v>
      </c>
      <c r="M916" s="25" t="s">
        <v>55</v>
      </c>
      <c r="N916" s="25" t="s">
        <v>87</v>
      </c>
      <c r="O916" t="s">
        <v>87</v>
      </c>
      <c r="P916" s="32">
        <v>-144250.09</v>
      </c>
      <c r="Q916" s="30">
        <v>0</v>
      </c>
      <c r="R916" s="30"/>
      <c r="S916" s="30" t="e">
        <v>#N/A</v>
      </c>
      <c r="T916" t="s">
        <v>34</v>
      </c>
      <c r="U916" s="31">
        <v>0</v>
      </c>
      <c r="V916" t="s">
        <v>42</v>
      </c>
      <c r="Y916" t="e">
        <f>VLOOKUP(A916,[2]!PRGX[[#All],[Proveedor]],1,FALSE)</f>
        <v>#REF!</v>
      </c>
    </row>
    <row r="917" spans="1:26" x14ac:dyDescent="0.25">
      <c r="A917" s="25">
        <v>22689</v>
      </c>
      <c r="B917" s="25" t="s">
        <v>939</v>
      </c>
      <c r="C917" s="26">
        <v>1317</v>
      </c>
      <c r="D917" s="27">
        <v>27412077.899999999</v>
      </c>
      <c r="E917" s="27">
        <v>27190069.699999999</v>
      </c>
      <c r="F917" s="27">
        <v>222008.2</v>
      </c>
      <c r="G917" s="27">
        <f>VLOOKUP(A917,'[1]saldos al 26May26'!$C$2:$I$1010,7,FALSE)</f>
        <v>15985.24</v>
      </c>
      <c r="H917" s="39" t="s">
        <v>54</v>
      </c>
      <c r="I917" s="28"/>
      <c r="J917" s="29">
        <v>471790.58999999997</v>
      </c>
      <c r="K917" s="25" t="s">
        <v>40</v>
      </c>
      <c r="L917" s="25" t="s">
        <v>30</v>
      </c>
      <c r="M917" s="36" t="s">
        <v>55</v>
      </c>
      <c r="N917" s="25" t="s">
        <v>51</v>
      </c>
      <c r="O917" t="s">
        <v>51</v>
      </c>
      <c r="P917" s="32">
        <v>-3052740.4</v>
      </c>
      <c r="Q917" s="30">
        <v>0</v>
      </c>
      <c r="R917" s="30"/>
      <c r="S917" s="30" t="e">
        <v>#N/A</v>
      </c>
      <c r="T917" t="s">
        <v>34</v>
      </c>
      <c r="U917" s="31" t="e">
        <v>#N/A</v>
      </c>
      <c r="V917" t="s">
        <v>34</v>
      </c>
      <c r="Y917" t="e">
        <f>VLOOKUP(A917,[2]!PRGX[[#All],[Proveedor]],1,FALSE)</f>
        <v>#REF!</v>
      </c>
    </row>
    <row r="918" spans="1:26" x14ac:dyDescent="0.25">
      <c r="A918" s="25">
        <v>24773</v>
      </c>
      <c r="B918" s="25" t="s">
        <v>940</v>
      </c>
      <c r="C918" s="26">
        <v>461</v>
      </c>
      <c r="D918" s="27">
        <v>27149547.143599998</v>
      </c>
      <c r="E918" s="27">
        <v>16442233.283599999</v>
      </c>
      <c r="F918" s="27">
        <v>10707313.859999999</v>
      </c>
      <c r="G918" s="27">
        <f>VLOOKUP(A918,'[1]saldos al 26May26'!$C$2:$I$1010,7,FALSE)</f>
        <v>-497089.62</v>
      </c>
      <c r="H918" s="27"/>
      <c r="I918" s="28"/>
      <c r="J918" s="29">
        <v>218828.26108664399</v>
      </c>
      <c r="K918" s="25" t="s">
        <v>40</v>
      </c>
      <c r="L918" s="25" t="s">
        <v>30</v>
      </c>
      <c r="M918" s="25" t="s">
        <v>50</v>
      </c>
      <c r="N918" s="25" t="s">
        <v>70</v>
      </c>
      <c r="O918" t="s">
        <v>70</v>
      </c>
      <c r="P918" s="32">
        <v>-14230.14</v>
      </c>
      <c r="Q918" s="30">
        <v>0</v>
      </c>
      <c r="R918" s="30">
        <v>256030.74</v>
      </c>
      <c r="S918" s="30" t="s">
        <v>63</v>
      </c>
      <c r="T918" s="57" t="s">
        <v>33</v>
      </c>
      <c r="U918" s="31" t="s">
        <v>33</v>
      </c>
      <c r="V918" t="s">
        <v>33</v>
      </c>
      <c r="Y918" t="e">
        <f>VLOOKUP(A918,[2]!PRGX[[#All],[Proveedor]],1,FALSE)</f>
        <v>#REF!</v>
      </c>
    </row>
    <row r="919" spans="1:26" s="42" customFormat="1" x14ac:dyDescent="0.25">
      <c r="A919" s="25">
        <v>99747</v>
      </c>
      <c r="B919" s="25" t="s">
        <v>941</v>
      </c>
      <c r="C919" s="26">
        <v>594</v>
      </c>
      <c r="D919" s="27">
        <v>26976037.280000001</v>
      </c>
      <c r="E919" s="27">
        <v>22294529.280000001</v>
      </c>
      <c r="F919" s="27">
        <v>4681508</v>
      </c>
      <c r="G919" s="27">
        <f>VLOOKUP(A919,'[1]saldos al 26May26'!$C$2:$I$1010,7,FALSE)</f>
        <v>-212107.1</v>
      </c>
      <c r="H919" s="27"/>
      <c r="I919" s="28"/>
      <c r="J919" s="29">
        <v>51576.399999999987</v>
      </c>
      <c r="K919" s="25" t="s">
        <v>40</v>
      </c>
      <c r="L919" s="25" t="s">
        <v>30</v>
      </c>
      <c r="M919" s="25" t="s">
        <v>55</v>
      </c>
      <c r="N919" s="25" t="s">
        <v>67</v>
      </c>
      <c r="O919" t="s">
        <v>67</v>
      </c>
      <c r="P919" s="32">
        <v>-371.2</v>
      </c>
      <c r="Q919" s="30">
        <v>0</v>
      </c>
      <c r="R919" s="30"/>
      <c r="S919" s="30">
        <v>0</v>
      </c>
      <c r="T919" t="s">
        <v>34</v>
      </c>
      <c r="U919" s="31">
        <v>0</v>
      </c>
      <c r="V919" t="s">
        <v>34</v>
      </c>
      <c r="W919"/>
      <c r="Y919" t="e">
        <f>VLOOKUP(A919,[2]!PRGX[[#All],[Proveedor]],1,FALSE)</f>
        <v>#REF!</v>
      </c>
      <c r="Z919"/>
    </row>
    <row r="920" spans="1:26" x14ac:dyDescent="0.25">
      <c r="A920" s="25">
        <v>25100</v>
      </c>
      <c r="B920" s="25" t="s">
        <v>942</v>
      </c>
      <c r="C920" s="26">
        <v>5840</v>
      </c>
      <c r="D920" s="27">
        <v>26205358.199999999</v>
      </c>
      <c r="E920" s="27">
        <v>5360632.1400000006</v>
      </c>
      <c r="F920" s="27">
        <v>20844726.059999999</v>
      </c>
      <c r="G920" s="27">
        <f>VLOOKUP(A920,'[1]saldos al 26May26'!$C$2:$I$1010,7,FALSE)</f>
        <v>-5791947.9699999997</v>
      </c>
      <c r="H920" s="27"/>
      <c r="I920" s="28"/>
      <c r="J920" s="29">
        <v>229527.187724861</v>
      </c>
      <c r="K920" s="25" t="s">
        <v>40</v>
      </c>
      <c r="L920" s="25" t="s">
        <v>30</v>
      </c>
      <c r="M920" s="25" t="s">
        <v>50</v>
      </c>
      <c r="N920" s="25" t="s">
        <v>96</v>
      </c>
      <c r="O920" t="s">
        <v>96</v>
      </c>
      <c r="P920" s="30">
        <v>0</v>
      </c>
      <c r="Q920" s="30">
        <v>0</v>
      </c>
      <c r="R920" s="30"/>
      <c r="S920" s="30" t="e">
        <v>#N/A</v>
      </c>
      <c r="T920" t="s">
        <v>34</v>
      </c>
      <c r="U920" s="31" t="e">
        <v>#N/A</v>
      </c>
      <c r="V920" t="s">
        <v>34</v>
      </c>
      <c r="Y920" t="e">
        <f>VLOOKUP(A920,[2]!PRGX[[#All],[Proveedor]],1,FALSE)</f>
        <v>#REF!</v>
      </c>
    </row>
    <row r="921" spans="1:26" x14ac:dyDescent="0.25">
      <c r="A921" s="52">
        <v>24090</v>
      </c>
      <c r="B921" s="52" t="s">
        <v>943</v>
      </c>
      <c r="C921" s="53">
        <v>107</v>
      </c>
      <c r="D921" s="54">
        <v>26124480</v>
      </c>
      <c r="E921" s="27">
        <v>20729880</v>
      </c>
      <c r="F921" s="27">
        <v>5394600</v>
      </c>
      <c r="G921" s="54">
        <f>VLOOKUP(A921,'[1]saldos al 26May26'!$C$2:$I$1010,7,FALSE)</f>
        <v>-1154083.94</v>
      </c>
      <c r="H921" s="54"/>
      <c r="I921" s="55"/>
      <c r="J921" s="56">
        <v>66662.320588378003</v>
      </c>
      <c r="K921" s="52" t="s">
        <v>40</v>
      </c>
      <c r="L921" s="52" t="s">
        <v>30</v>
      </c>
      <c r="M921" s="52" t="s">
        <v>55</v>
      </c>
      <c r="N921" s="52" t="s">
        <v>67</v>
      </c>
      <c r="O921" s="57" t="s">
        <v>67</v>
      </c>
      <c r="P921" s="59">
        <v>-28188</v>
      </c>
      <c r="Q921" s="58">
        <v>548935.19999999995</v>
      </c>
      <c r="R921" s="30"/>
      <c r="S921" s="30" t="e">
        <v>#N/A</v>
      </c>
      <c r="T921" s="57" t="s">
        <v>34</v>
      </c>
      <c r="U921" s="31" t="e">
        <v>#N/A</v>
      </c>
      <c r="V921" s="57" t="s">
        <v>34</v>
      </c>
      <c r="X921" t="s">
        <v>43</v>
      </c>
      <c r="Y921" t="e">
        <f>VLOOKUP(A921,[2]!PRGX[[#All],[Proveedor]],1,FALSE)</f>
        <v>#REF!</v>
      </c>
    </row>
    <row r="922" spans="1:26" x14ac:dyDescent="0.25">
      <c r="A922" s="25">
        <v>302105</v>
      </c>
      <c r="B922" s="25" t="s">
        <v>944</v>
      </c>
      <c r="C922" s="26">
        <v>4505</v>
      </c>
      <c r="D922" s="27">
        <v>25827166.050000001</v>
      </c>
      <c r="E922" s="27">
        <v>22127037.510000002</v>
      </c>
      <c r="F922" s="27">
        <v>3700128.54</v>
      </c>
      <c r="G922" s="27">
        <f>VLOOKUP(A922,'[1]saldos al 26May26'!$C$2:$I$1010,7,FALSE)</f>
        <v>-1631598.77</v>
      </c>
      <c r="H922" s="27"/>
      <c r="I922" s="28"/>
      <c r="J922" s="29">
        <v>51463.587290950003</v>
      </c>
      <c r="K922" s="25" t="s">
        <v>40</v>
      </c>
      <c r="L922" s="25" t="s">
        <v>30</v>
      </c>
      <c r="M922" s="25" t="s">
        <v>55</v>
      </c>
      <c r="N922" s="25" t="s">
        <v>67</v>
      </c>
      <c r="O922" t="s">
        <v>67</v>
      </c>
      <c r="P922" s="30">
        <v>7489</v>
      </c>
      <c r="Q922" s="30">
        <v>88894.52</v>
      </c>
      <c r="R922" s="30"/>
      <c r="S922" s="30" t="e">
        <v>#N/A</v>
      </c>
      <c r="T922" t="s">
        <v>34</v>
      </c>
      <c r="U922" s="31" t="e">
        <v>#N/A</v>
      </c>
      <c r="V922" t="s">
        <v>34</v>
      </c>
      <c r="Y922" t="e">
        <f>VLOOKUP(A922,[2]!PRGX[[#All],[Proveedor]],1,FALSE)</f>
        <v>#REF!</v>
      </c>
    </row>
    <row r="923" spans="1:26" x14ac:dyDescent="0.25">
      <c r="A923" s="25">
        <v>77867</v>
      </c>
      <c r="B923" s="25" t="s">
        <v>945</v>
      </c>
      <c r="C923" s="26">
        <v>15734</v>
      </c>
      <c r="D923" s="27">
        <v>25660678.379999999</v>
      </c>
      <c r="E923" s="27">
        <v>23623089.140000001</v>
      </c>
      <c r="F923" s="27">
        <v>2037589.24</v>
      </c>
      <c r="G923" s="27">
        <f>VLOOKUP(A923,'[1]saldos al 26May26'!$C$2:$I$1010,7,FALSE)</f>
        <v>0</v>
      </c>
      <c r="H923" s="39" t="s">
        <v>54</v>
      </c>
      <c r="I923" s="28"/>
      <c r="J923" s="29">
        <v>368095.11436162901</v>
      </c>
      <c r="K923" s="25" t="s">
        <v>40</v>
      </c>
      <c r="L923" s="25" t="s">
        <v>30</v>
      </c>
      <c r="M923" s="36" t="s">
        <v>55</v>
      </c>
      <c r="N923" s="25" t="s">
        <v>70</v>
      </c>
      <c r="O923" t="s">
        <v>70</v>
      </c>
      <c r="P923" s="32">
        <v>-401768.67</v>
      </c>
      <c r="Q923" s="30">
        <v>0</v>
      </c>
      <c r="R923" s="30"/>
      <c r="S923" s="30" t="e">
        <v>#N/A</v>
      </c>
      <c r="T923" t="s">
        <v>34</v>
      </c>
      <c r="U923" s="31" t="e">
        <v>#N/A</v>
      </c>
      <c r="V923" t="s">
        <v>34</v>
      </c>
      <c r="Y923" t="e">
        <f>VLOOKUP(A923,[2]!PRGX[[#All],[Proveedor]],1,FALSE)</f>
        <v>#REF!</v>
      </c>
    </row>
    <row r="924" spans="1:26" x14ac:dyDescent="0.25">
      <c r="A924" s="25">
        <v>3835</v>
      </c>
      <c r="B924" s="25" t="s">
        <v>946</v>
      </c>
      <c r="C924" s="26">
        <v>17725</v>
      </c>
      <c r="D924" s="27">
        <v>25537016.32</v>
      </c>
      <c r="E924" s="27">
        <v>21847988.780000001</v>
      </c>
      <c r="F924" s="27">
        <v>3689027.54</v>
      </c>
      <c r="G924" s="27">
        <f>VLOOKUP(A924,'[1]saldos al 26May26'!$C$2:$I$1010,7,FALSE)</f>
        <v>-855120.56</v>
      </c>
      <c r="H924" s="27"/>
      <c r="I924" s="28"/>
      <c r="J924" s="29">
        <v>64969.569431111988</v>
      </c>
      <c r="K924" s="25" t="s">
        <v>40</v>
      </c>
      <c r="L924" s="25" t="s">
        <v>30</v>
      </c>
      <c r="M924" s="25" t="s">
        <v>55</v>
      </c>
      <c r="N924" s="25" t="s">
        <v>41</v>
      </c>
      <c r="O924" t="s">
        <v>41</v>
      </c>
      <c r="P924" s="32">
        <v>-1247.42</v>
      </c>
      <c r="Q924" s="30">
        <v>0</v>
      </c>
      <c r="R924" s="30"/>
      <c r="S924" s="30">
        <v>0</v>
      </c>
      <c r="T924" t="s">
        <v>34</v>
      </c>
      <c r="U924" s="31">
        <v>0</v>
      </c>
      <c r="V924" t="s">
        <v>34</v>
      </c>
      <c r="Y924" t="e">
        <f>VLOOKUP(A924,[2]!PRGX[[#All],[Proveedor]],1,FALSE)</f>
        <v>#REF!</v>
      </c>
    </row>
    <row r="925" spans="1:26" s="42" customFormat="1" x14ac:dyDescent="0.25">
      <c r="A925" s="25">
        <v>82289</v>
      </c>
      <c r="B925" s="25" t="s">
        <v>947</v>
      </c>
      <c r="C925" s="26">
        <v>14781</v>
      </c>
      <c r="D925" s="27">
        <v>25505476.940000001</v>
      </c>
      <c r="E925" s="27">
        <v>23801808.450000003</v>
      </c>
      <c r="F925" s="27">
        <v>1703668.49</v>
      </c>
      <c r="G925" s="27">
        <f>VLOOKUP(A925,'[1]saldos al 26May26'!$C$2:$I$1010,7,FALSE)</f>
        <v>0</v>
      </c>
      <c r="H925" s="39" t="s">
        <v>54</v>
      </c>
      <c r="I925" s="28"/>
      <c r="J925" s="29">
        <v>199692.92720931501</v>
      </c>
      <c r="K925" s="25" t="s">
        <v>40</v>
      </c>
      <c r="L925" s="25" t="s">
        <v>30</v>
      </c>
      <c r="M925" s="36" t="s">
        <v>55</v>
      </c>
      <c r="N925" s="25" t="s">
        <v>87</v>
      </c>
      <c r="O925" t="s">
        <v>87</v>
      </c>
      <c r="P925" s="30">
        <v>34321.630000000005</v>
      </c>
      <c r="Q925" s="30">
        <v>0</v>
      </c>
      <c r="R925" s="30"/>
      <c r="S925" s="30" t="e">
        <v>#N/A</v>
      </c>
      <c r="T925" t="s">
        <v>34</v>
      </c>
      <c r="U925" s="31" t="e">
        <v>#N/A</v>
      </c>
      <c r="V925" t="s">
        <v>34</v>
      </c>
      <c r="W925"/>
      <c r="Y925" t="e">
        <f>VLOOKUP(A925,[2]!PRGX[[#All],[Proveedor]],1,FALSE)</f>
        <v>#REF!</v>
      </c>
      <c r="Z925"/>
    </row>
    <row r="926" spans="1:26" x14ac:dyDescent="0.25">
      <c r="A926" s="25">
        <v>24309</v>
      </c>
      <c r="B926" s="25" t="s">
        <v>948</v>
      </c>
      <c r="C926" s="26">
        <v>10165</v>
      </c>
      <c r="D926" s="27">
        <v>25459623</v>
      </c>
      <c r="E926" s="27">
        <v>17083860</v>
      </c>
      <c r="F926" s="27">
        <v>8375763</v>
      </c>
      <c r="G926" s="27">
        <f>VLOOKUP(A926,'[1]saldos al 26May26'!$C$2:$I$1010,7,FALSE)</f>
        <v>-2396582.85</v>
      </c>
      <c r="H926" s="27"/>
      <c r="I926" s="28"/>
      <c r="J926" s="29">
        <v>261998.451474578</v>
      </c>
      <c r="K926" s="25" t="s">
        <v>40</v>
      </c>
      <c r="L926" s="25" t="s">
        <v>30</v>
      </c>
      <c r="M926" s="25" t="s">
        <v>31</v>
      </c>
      <c r="N926" s="25" t="s">
        <v>51</v>
      </c>
      <c r="O926" t="s">
        <v>51</v>
      </c>
      <c r="P926" s="32">
        <v>-312241.62</v>
      </c>
      <c r="Q926" s="30">
        <v>0</v>
      </c>
      <c r="R926" s="30"/>
      <c r="S926" s="30" t="e">
        <v>#N/A</v>
      </c>
      <c r="T926" t="s">
        <v>34</v>
      </c>
      <c r="U926" s="31" t="e">
        <v>#N/A</v>
      </c>
      <c r="V926" t="s">
        <v>34</v>
      </c>
      <c r="Y926" t="e">
        <f>VLOOKUP(A926,[2]!PRGX[[#All],[Proveedor]],1,FALSE)</f>
        <v>#REF!</v>
      </c>
    </row>
    <row r="927" spans="1:26" s="42" customFormat="1" x14ac:dyDescent="0.25">
      <c r="A927" s="25">
        <v>308592</v>
      </c>
      <c r="B927" s="25" t="s">
        <v>949</v>
      </c>
      <c r="C927" s="26">
        <v>22551</v>
      </c>
      <c r="D927" s="27">
        <v>25268886.620000001</v>
      </c>
      <c r="E927" s="27">
        <v>24199887.52</v>
      </c>
      <c r="F927" s="27">
        <v>1068999.1000000001</v>
      </c>
      <c r="G927" s="27">
        <f>VLOOKUP(A927,'[1]saldos al 26May26'!$C$2:$I$1010,7,FALSE)</f>
        <v>1495.5</v>
      </c>
      <c r="H927" s="39" t="s">
        <v>54</v>
      </c>
      <c r="I927" s="28"/>
      <c r="J927" s="29">
        <v>47190.425939939996</v>
      </c>
      <c r="K927" s="25" t="s">
        <v>40</v>
      </c>
      <c r="L927" s="25" t="s">
        <v>30</v>
      </c>
      <c r="M927" s="25" t="s">
        <v>55</v>
      </c>
      <c r="N927" s="25" t="s">
        <v>41</v>
      </c>
      <c r="O927" t="s">
        <v>41</v>
      </c>
      <c r="P927" s="32">
        <v>-29462.159999999996</v>
      </c>
      <c r="Q927" s="30">
        <v>0</v>
      </c>
      <c r="R927" s="30"/>
      <c r="S927" s="30" t="e">
        <v>#N/A</v>
      </c>
      <c r="T927" t="s">
        <v>34</v>
      </c>
      <c r="U927" s="31" t="e">
        <v>#N/A</v>
      </c>
      <c r="V927" t="s">
        <v>34</v>
      </c>
      <c r="W927"/>
      <c r="Y927" t="e">
        <f>VLOOKUP(A927,[2]!PRGX[[#All],[Proveedor]],1,FALSE)</f>
        <v>#REF!</v>
      </c>
      <c r="Z927"/>
    </row>
    <row r="928" spans="1:26" x14ac:dyDescent="0.25">
      <c r="A928" s="25">
        <v>206706</v>
      </c>
      <c r="B928" s="25" t="s">
        <v>950</v>
      </c>
      <c r="C928" s="26">
        <v>16265</v>
      </c>
      <c r="D928" s="27">
        <v>25215262.82</v>
      </c>
      <c r="E928" s="27">
        <v>23000962.310000002</v>
      </c>
      <c r="F928" s="27">
        <v>2214300.5099999998</v>
      </c>
      <c r="G928" s="27">
        <f>VLOOKUP(A928,'[1]saldos al 26May26'!$C$2:$I$1010,7,FALSE)</f>
        <v>-620687.06000000006</v>
      </c>
      <c r="H928" s="27"/>
      <c r="I928" s="28"/>
      <c r="J928" s="29">
        <v>93180.737032358491</v>
      </c>
      <c r="K928" s="25" t="s">
        <v>40</v>
      </c>
      <c r="L928" s="25" t="s">
        <v>30</v>
      </c>
      <c r="M928" s="25" t="s">
        <v>55</v>
      </c>
      <c r="N928" s="25" t="s">
        <v>80</v>
      </c>
      <c r="O928" t="s">
        <v>80</v>
      </c>
      <c r="P928" s="32">
        <v>-169313.41</v>
      </c>
      <c r="Q928" s="30">
        <v>120668.12</v>
      </c>
      <c r="R928" s="30"/>
      <c r="S928" s="30" t="e">
        <v>#N/A</v>
      </c>
      <c r="T928" t="s">
        <v>34</v>
      </c>
      <c r="U928" s="31" t="e">
        <v>#N/A</v>
      </c>
      <c r="V928" t="s">
        <v>34</v>
      </c>
      <c r="Y928" t="e">
        <f>VLOOKUP(A928,[2]!PRGX[[#All],[Proveedor]],1,FALSE)</f>
        <v>#REF!</v>
      </c>
    </row>
    <row r="929" spans="1:26" x14ac:dyDescent="0.25">
      <c r="A929" s="36">
        <v>300640</v>
      </c>
      <c r="B929" s="36" t="s">
        <v>951</v>
      </c>
      <c r="C929" s="37">
        <v>4507</v>
      </c>
      <c r="D929" s="38">
        <v>24611539.84</v>
      </c>
      <c r="E929" s="38">
        <v>24595650.559999999</v>
      </c>
      <c r="F929" s="38">
        <v>15889.28</v>
      </c>
      <c r="G929" s="38" t="e">
        <f>VLOOKUP(A929,'[1]saldos al 26May26'!$C$2:$I$1010,7,FALSE)</f>
        <v>#N/A</v>
      </c>
      <c r="H929" s="39" t="s">
        <v>54</v>
      </c>
      <c r="I929" s="40"/>
      <c r="J929" s="41">
        <v>66935.073002976016</v>
      </c>
      <c r="K929" s="36" t="s">
        <v>40</v>
      </c>
      <c r="L929" s="36" t="s">
        <v>30</v>
      </c>
      <c r="M929" s="36" t="s">
        <v>55</v>
      </c>
      <c r="N929" s="25" t="s">
        <v>41</v>
      </c>
      <c r="O929" s="42" t="s">
        <v>41</v>
      </c>
      <c r="P929" s="32">
        <v>-10080.01</v>
      </c>
      <c r="Q929" s="30">
        <v>0</v>
      </c>
      <c r="R929" s="30"/>
      <c r="S929" s="30" t="e">
        <v>#N/A</v>
      </c>
      <c r="T929" t="s">
        <v>34</v>
      </c>
      <c r="U929" s="31" t="e">
        <v>#N/A</v>
      </c>
      <c r="V929" t="s">
        <v>34</v>
      </c>
      <c r="W929" s="42"/>
      <c r="Y929" t="e">
        <f>VLOOKUP(A929,[2]!PRGX[[#All],[Proveedor]],1,FALSE)</f>
        <v>#REF!</v>
      </c>
    </row>
    <row r="930" spans="1:26" x14ac:dyDescent="0.25">
      <c r="A930" s="25">
        <v>22552</v>
      </c>
      <c r="B930" s="25" t="s">
        <v>952</v>
      </c>
      <c r="C930" s="26">
        <v>75733</v>
      </c>
      <c r="D930" s="27">
        <v>150797124.433</v>
      </c>
      <c r="E930" s="27">
        <v>89030990.229999989</v>
      </c>
      <c r="F930" s="27">
        <v>61766134.203000002</v>
      </c>
      <c r="G930" s="27">
        <f>VLOOKUP(A930,'[1]saldos al 26May26'!$C$2:$I$1010,7,FALSE)</f>
        <v>-3243266.51</v>
      </c>
      <c r="H930" s="27"/>
      <c r="I930" s="28"/>
      <c r="J930" s="29"/>
      <c r="K930" s="25" t="s">
        <v>40</v>
      </c>
      <c r="L930" s="25" t="s">
        <v>30</v>
      </c>
      <c r="M930" s="25" t="s">
        <v>55</v>
      </c>
      <c r="N930" s="25" t="s">
        <v>56</v>
      </c>
      <c r="O930" t="s">
        <v>56</v>
      </c>
      <c r="P930" s="32">
        <v>-6805387.2300000004</v>
      </c>
      <c r="Q930" s="30">
        <v>-3775.88</v>
      </c>
      <c r="R930" s="30"/>
      <c r="S930" s="30" t="e">
        <v>#N/A</v>
      </c>
      <c r="T930" t="s">
        <v>34</v>
      </c>
      <c r="U930" s="31" t="e">
        <v>#N/A</v>
      </c>
      <c r="V930" t="s">
        <v>34</v>
      </c>
      <c r="Y930" t="e">
        <f>VLOOKUP(A930,[2]!PRGX[[#All],[Proveedor]],1,FALSE)</f>
        <v>#REF!</v>
      </c>
    </row>
    <row r="931" spans="1:26" x14ac:dyDescent="0.25">
      <c r="A931" s="25">
        <v>1966</v>
      </c>
      <c r="B931" s="25" t="s">
        <v>953</v>
      </c>
      <c r="C931" s="26">
        <v>498</v>
      </c>
      <c r="D931" s="27">
        <v>129846333</v>
      </c>
      <c r="E931" s="27">
        <v>106084692</v>
      </c>
      <c r="F931" s="27">
        <v>23761641</v>
      </c>
      <c r="G931" s="27">
        <f>VLOOKUP(A931,'[1]saldos al 26May26'!$C$2:$I$1010,7,FALSE)</f>
        <v>0</v>
      </c>
      <c r="H931" s="39" t="s">
        <v>54</v>
      </c>
      <c r="I931" s="28"/>
      <c r="J931" s="29"/>
      <c r="K931" s="25" t="s">
        <v>29</v>
      </c>
      <c r="L931" s="25" t="s">
        <v>30</v>
      </c>
      <c r="M931" s="36" t="s">
        <v>55</v>
      </c>
      <c r="N931" s="25"/>
      <c r="O931" t="s">
        <v>56</v>
      </c>
      <c r="P931" s="32">
        <v>-268602.32</v>
      </c>
      <c r="Q931" s="30">
        <v>0</v>
      </c>
      <c r="R931" s="30"/>
      <c r="S931" s="30" t="s">
        <v>63</v>
      </c>
      <c r="T931" t="s">
        <v>33</v>
      </c>
      <c r="U931" s="31" t="e">
        <v>#N/A</v>
      </c>
      <c r="V931" t="s">
        <v>34</v>
      </c>
      <c r="Y931" t="e">
        <f>VLOOKUP(A931,[2]!PRGX[[#All],[Proveedor]],1,FALSE)</f>
        <v>#REF!</v>
      </c>
    </row>
    <row r="932" spans="1:26" x14ac:dyDescent="0.25">
      <c r="A932" s="36">
        <v>23231</v>
      </c>
      <c r="B932" s="36" t="s">
        <v>954</v>
      </c>
      <c r="C932" s="36">
        <v>9817</v>
      </c>
      <c r="D932" s="38">
        <v>24222252.879999999</v>
      </c>
      <c r="E932" s="38">
        <v>17799266.299999997</v>
      </c>
      <c r="F932" s="38">
        <v>6422986.5800000001</v>
      </c>
      <c r="G932" s="38" t="e">
        <f>VLOOKUP(A932,'[1]saldos al 26May26'!$C$2:$I$1010,7,FALSE)</f>
        <v>#N/A</v>
      </c>
      <c r="H932" s="39" t="s">
        <v>54</v>
      </c>
      <c r="I932" s="40" t="s">
        <v>27</v>
      </c>
      <c r="J932" s="41"/>
      <c r="K932" s="36" t="s">
        <v>29</v>
      </c>
      <c r="L932" s="36" t="s">
        <v>30</v>
      </c>
      <c r="M932" s="36" t="s">
        <v>55</v>
      </c>
      <c r="N932" s="25"/>
      <c r="O932" s="42" t="s">
        <v>38</v>
      </c>
      <c r="P932" s="30">
        <v>7516.72</v>
      </c>
      <c r="Q932" s="30">
        <v>125274500.50999999</v>
      </c>
      <c r="R932" s="30"/>
      <c r="S932" s="30" t="s">
        <v>33</v>
      </c>
      <c r="T932" t="s">
        <v>33</v>
      </c>
      <c r="U932" s="31" t="e">
        <v>#N/A</v>
      </c>
      <c r="V932" t="s">
        <v>34</v>
      </c>
      <c r="Y932" t="e">
        <f>VLOOKUP(A932,[2]!PRGX[[#All],[Proveedor]],1,FALSE)</f>
        <v>#REF!</v>
      </c>
      <c r="Z932">
        <v>23231</v>
      </c>
    </row>
    <row r="933" spans="1:26" x14ac:dyDescent="0.25">
      <c r="A933" s="25">
        <v>44586</v>
      </c>
      <c r="B933" s="25" t="s">
        <v>955</v>
      </c>
      <c r="C933" s="26">
        <v>14092</v>
      </c>
      <c r="D933" s="27">
        <v>23676139.108100001</v>
      </c>
      <c r="E933" s="27">
        <v>21378789.028099999</v>
      </c>
      <c r="F933" s="27">
        <v>2297350.08</v>
      </c>
      <c r="G933" s="27">
        <f>VLOOKUP(A933,'[1]saldos al 26May26'!$C$2:$I$1010,7,FALSE)</f>
        <v>-195108.11</v>
      </c>
      <c r="H933" s="27"/>
      <c r="I933" s="28"/>
      <c r="J933" s="29">
        <v>62028.808724709997</v>
      </c>
      <c r="K933" s="25" t="s">
        <v>40</v>
      </c>
      <c r="L933" s="25" t="s">
        <v>30</v>
      </c>
      <c r="M933" s="25" t="s">
        <v>55</v>
      </c>
      <c r="N933" s="25" t="s">
        <v>45</v>
      </c>
      <c r="O933" t="s">
        <v>45</v>
      </c>
      <c r="P933" s="30">
        <v>15565.399999999998</v>
      </c>
      <c r="Q933" s="30">
        <v>0</v>
      </c>
      <c r="R933" s="30"/>
      <c r="S933" s="30">
        <v>0</v>
      </c>
      <c r="T933" t="s">
        <v>42</v>
      </c>
      <c r="U933" s="31" t="e">
        <v>#N/A</v>
      </c>
      <c r="V933" t="s">
        <v>34</v>
      </c>
      <c r="Y933" t="e">
        <f>VLOOKUP(A933,[2]!PRGX[[#All],[Proveedor]],1,FALSE)</f>
        <v>#REF!</v>
      </c>
    </row>
    <row r="934" spans="1:26" x14ac:dyDescent="0.25">
      <c r="A934" s="36">
        <v>531574</v>
      </c>
      <c r="B934" s="36" t="s">
        <v>956</v>
      </c>
      <c r="C934" s="37">
        <v>3267</v>
      </c>
      <c r="D934" s="38">
        <v>23568191.710000001</v>
      </c>
      <c r="E934" s="38">
        <v>21308643.870000001</v>
      </c>
      <c r="F934" s="38">
        <v>2259547.84</v>
      </c>
      <c r="G934" s="38" t="e">
        <f>VLOOKUP(A934,'[1]saldos al 26May26'!$C$2:$I$1010,7,FALSE)</f>
        <v>#N/A</v>
      </c>
      <c r="H934" s="39" t="s">
        <v>54</v>
      </c>
      <c r="I934" s="40" t="s">
        <v>27</v>
      </c>
      <c r="J934" s="41"/>
      <c r="K934" s="36" t="s">
        <v>29</v>
      </c>
      <c r="L934" s="36" t="s">
        <v>30</v>
      </c>
      <c r="M934" s="36" t="s">
        <v>55</v>
      </c>
      <c r="N934" s="25"/>
      <c r="O934" s="42" t="s">
        <v>45</v>
      </c>
      <c r="P934" s="30">
        <v>120602248.04000001</v>
      </c>
      <c r="Q934" s="30">
        <v>43963007.309999995</v>
      </c>
      <c r="R934" s="30">
        <v>13121.4</v>
      </c>
      <c r="S934" s="30" t="s">
        <v>33</v>
      </c>
      <c r="T934" t="s">
        <v>33</v>
      </c>
      <c r="U934" s="31" t="e">
        <v>#N/A</v>
      </c>
      <c r="V934" t="s">
        <v>34</v>
      </c>
      <c r="W934" s="42"/>
      <c r="Y934" t="e">
        <f>VLOOKUP(A934,[2]!PRGX[[#All],[Proveedor]],1,FALSE)</f>
        <v>#REF!</v>
      </c>
      <c r="Z934">
        <v>531574</v>
      </c>
    </row>
    <row r="935" spans="1:26" x14ac:dyDescent="0.25">
      <c r="A935" s="25">
        <v>9589</v>
      </c>
      <c r="B935" s="25" t="s">
        <v>957</v>
      </c>
      <c r="C935" s="26">
        <v>3150</v>
      </c>
      <c r="D935" s="27">
        <v>23550897.34</v>
      </c>
      <c r="E935" s="27">
        <v>19075491.100000001</v>
      </c>
      <c r="F935" s="27">
        <v>4475406.24</v>
      </c>
      <c r="G935" s="27">
        <f>VLOOKUP(A935,'[1]saldos al 26May26'!$C$2:$I$1010,7,FALSE)</f>
        <v>-972863.81</v>
      </c>
      <c r="H935" s="27"/>
      <c r="I935" s="28"/>
      <c r="J935" s="29">
        <v>110968.95215104801</v>
      </c>
      <c r="K935" s="25" t="s">
        <v>40</v>
      </c>
      <c r="L935" s="25" t="s">
        <v>30</v>
      </c>
      <c r="M935" s="25" t="s">
        <v>31</v>
      </c>
      <c r="N935" s="25" t="s">
        <v>47</v>
      </c>
      <c r="O935" t="s">
        <v>47</v>
      </c>
      <c r="P935" s="32">
        <v>-34329.08</v>
      </c>
      <c r="Q935" s="30">
        <v>0</v>
      </c>
      <c r="R935" s="30">
        <v>354212</v>
      </c>
      <c r="S935" s="30" t="e">
        <v>#N/A</v>
      </c>
      <c r="T935" t="s">
        <v>34</v>
      </c>
      <c r="U935" s="31" t="e">
        <v>#N/A</v>
      </c>
      <c r="V935" t="s">
        <v>34</v>
      </c>
      <c r="Y935" t="e">
        <f>VLOOKUP(A935,[2]!PRGX[[#All],[Proveedor]],1,FALSE)</f>
        <v>#REF!</v>
      </c>
    </row>
    <row r="936" spans="1:26" x14ac:dyDescent="0.25">
      <c r="A936" s="25">
        <v>24592</v>
      </c>
      <c r="B936" s="25" t="s">
        <v>958</v>
      </c>
      <c r="C936" s="26">
        <v>2767</v>
      </c>
      <c r="D936" s="27">
        <v>22490478.670000002</v>
      </c>
      <c r="E936" s="27">
        <v>21225800.800000001</v>
      </c>
      <c r="F936" s="27">
        <v>1264677.8700000001</v>
      </c>
      <c r="G936" s="27">
        <f>VLOOKUP(A936,'[1]saldos al 26May26'!$C$2:$I$1010,7,FALSE)</f>
        <v>14863.91</v>
      </c>
      <c r="H936" s="39" t="s">
        <v>54</v>
      </c>
      <c r="I936" s="28"/>
      <c r="J936" s="29">
        <v>59725.906372061989</v>
      </c>
      <c r="K936" s="25" t="s">
        <v>40</v>
      </c>
      <c r="L936" s="25" t="s">
        <v>30</v>
      </c>
      <c r="M936" s="25" t="s">
        <v>55</v>
      </c>
      <c r="N936" s="25" t="s">
        <v>96</v>
      </c>
      <c r="O936" t="s">
        <v>96</v>
      </c>
      <c r="P936" s="32">
        <v>-64279.53</v>
      </c>
      <c r="Q936" s="30">
        <v>0</v>
      </c>
      <c r="R936" s="30"/>
      <c r="S936" s="30" t="e">
        <v>#N/A</v>
      </c>
      <c r="T936" t="s">
        <v>34</v>
      </c>
      <c r="U936" s="31" t="e">
        <v>#N/A</v>
      </c>
      <c r="V936" t="s">
        <v>34</v>
      </c>
      <c r="Y936" t="e">
        <f>VLOOKUP(A936,[2]!PRGX[[#All],[Proveedor]],1,FALSE)</f>
        <v>#REF!</v>
      </c>
    </row>
    <row r="937" spans="1:26" x14ac:dyDescent="0.25">
      <c r="A937" s="25">
        <v>20486</v>
      </c>
      <c r="B937" s="25" t="s">
        <v>959</v>
      </c>
      <c r="C937" s="26">
        <v>213</v>
      </c>
      <c r="D937" s="27">
        <v>22286406</v>
      </c>
      <c r="E937" s="27">
        <v>16704432</v>
      </c>
      <c r="F937" s="27">
        <v>5581974</v>
      </c>
      <c r="G937" s="27">
        <f>VLOOKUP(A937,'[1]saldos al 26May26'!$C$2:$I$1010,7,FALSE)</f>
        <v>0</v>
      </c>
      <c r="H937" s="39" t="s">
        <v>54</v>
      </c>
      <c r="I937" s="28"/>
      <c r="J937" s="29">
        <v>161137.409435368</v>
      </c>
      <c r="K937" s="25" t="s">
        <v>40</v>
      </c>
      <c r="L937" s="25" t="s">
        <v>30</v>
      </c>
      <c r="M937" s="25" t="s">
        <v>55</v>
      </c>
      <c r="N937" s="25" t="s">
        <v>70</v>
      </c>
      <c r="O937" t="s">
        <v>70</v>
      </c>
      <c r="P937" s="32">
        <v>-262030.59</v>
      </c>
      <c r="Q937" s="30">
        <v>0</v>
      </c>
      <c r="R937" s="30"/>
      <c r="S937" s="30" t="e">
        <v>#N/A</v>
      </c>
      <c r="T937" t="s">
        <v>34</v>
      </c>
      <c r="U937" s="31" t="e">
        <v>#N/A</v>
      </c>
      <c r="V937" t="s">
        <v>34</v>
      </c>
      <c r="Y937" t="e">
        <f>VLOOKUP(A937,[2]!PRGX[[#All],[Proveedor]],1,FALSE)</f>
        <v>#REF!</v>
      </c>
    </row>
    <row r="938" spans="1:26" x14ac:dyDescent="0.25">
      <c r="A938" s="25">
        <v>92148</v>
      </c>
      <c r="B938" s="25" t="s">
        <v>960</v>
      </c>
      <c r="C938" s="26">
        <v>281</v>
      </c>
      <c r="D938" s="27">
        <v>22283457.91</v>
      </c>
      <c r="E938" s="27">
        <v>16271501.370000001</v>
      </c>
      <c r="F938" s="27">
        <v>6011956.54</v>
      </c>
      <c r="G938" s="27">
        <f>VLOOKUP(A938,'[1]saldos al 26May26'!$C$2:$I$1010,7,FALSE)</f>
        <v>-845298.83</v>
      </c>
      <c r="H938" s="27"/>
      <c r="I938" s="28"/>
      <c r="J938" s="29">
        <v>456379.06574989599</v>
      </c>
      <c r="K938" s="25" t="s">
        <v>40</v>
      </c>
      <c r="L938" s="25" t="s">
        <v>30</v>
      </c>
      <c r="M938" s="25" t="s">
        <v>50</v>
      </c>
      <c r="N938" s="25" t="s">
        <v>45</v>
      </c>
      <c r="O938" t="s">
        <v>45</v>
      </c>
      <c r="P938" s="30">
        <v>0</v>
      </c>
      <c r="Q938" s="30">
        <v>0</v>
      </c>
      <c r="R938" s="30">
        <v>47250</v>
      </c>
      <c r="S938" s="30" t="e">
        <v>#N/A</v>
      </c>
      <c r="T938" t="s">
        <v>34</v>
      </c>
      <c r="U938" s="31" t="e">
        <v>#N/A</v>
      </c>
      <c r="V938" t="s">
        <v>34</v>
      </c>
      <c r="Y938" t="e">
        <f>VLOOKUP(A938,[2]!PRGX[[#All],[Proveedor]],1,FALSE)</f>
        <v>#REF!</v>
      </c>
    </row>
    <row r="939" spans="1:26" x14ac:dyDescent="0.25">
      <c r="A939" s="52">
        <v>24836</v>
      </c>
      <c r="B939" s="52" t="s">
        <v>961</v>
      </c>
      <c r="C939" s="53">
        <v>676</v>
      </c>
      <c r="D939" s="54">
        <v>22166117.903999999</v>
      </c>
      <c r="E939" s="27">
        <v>16005206.059999999</v>
      </c>
      <c r="F939" s="27">
        <v>6160911.8439999996</v>
      </c>
      <c r="G939" s="54">
        <f>VLOOKUP(A939,'[1]saldos al 26May26'!$C$2:$I$1010,7,FALSE)</f>
        <v>-2644283.69</v>
      </c>
      <c r="H939" s="54"/>
      <c r="I939" s="55"/>
      <c r="J939" s="56">
        <v>119076.03283722201</v>
      </c>
      <c r="K939" s="52" t="s">
        <v>40</v>
      </c>
      <c r="L939" s="52" t="s">
        <v>30</v>
      </c>
      <c r="M939" s="52" t="s">
        <v>31</v>
      </c>
      <c r="N939" s="52" t="s">
        <v>45</v>
      </c>
      <c r="O939" s="57" t="s">
        <v>45</v>
      </c>
      <c r="P939" s="58">
        <v>1668397.77</v>
      </c>
      <c r="Q939" s="58">
        <v>1692796.08</v>
      </c>
      <c r="R939" s="30"/>
      <c r="S939" s="30" t="e">
        <v>#N/A</v>
      </c>
      <c r="T939" s="57" t="s">
        <v>34</v>
      </c>
      <c r="U939" s="31" t="e">
        <v>#N/A</v>
      </c>
      <c r="V939" s="57" t="s">
        <v>34</v>
      </c>
      <c r="X939" t="s">
        <v>43</v>
      </c>
      <c r="Y939" t="e">
        <f>VLOOKUP(A939,[2]!PRGX[[#All],[Proveedor]],1,FALSE)</f>
        <v>#REF!</v>
      </c>
    </row>
    <row r="940" spans="1:26" x14ac:dyDescent="0.25">
      <c r="A940" s="36">
        <v>566400</v>
      </c>
      <c r="B940" s="36" t="s">
        <v>962</v>
      </c>
      <c r="C940" s="37">
        <v>3016</v>
      </c>
      <c r="D940" s="38">
        <v>22102193.420000002</v>
      </c>
      <c r="E940" s="38">
        <v>17078948.060000002</v>
      </c>
      <c r="F940" s="38">
        <v>5023245.3600000003</v>
      </c>
      <c r="G940" s="38" t="e">
        <f>VLOOKUP(A940,'[1]saldos al 26May26'!$C$2:$I$1010,7,FALSE)</f>
        <v>#N/A</v>
      </c>
      <c r="H940" s="39" t="s">
        <v>54</v>
      </c>
      <c r="I940" s="40" t="s">
        <v>27</v>
      </c>
      <c r="J940" s="41"/>
      <c r="K940" s="36" t="s">
        <v>29</v>
      </c>
      <c r="L940" s="36" t="s">
        <v>30</v>
      </c>
      <c r="M940" s="36" t="s">
        <v>55</v>
      </c>
      <c r="N940" s="25"/>
      <c r="O940" s="42" t="s">
        <v>45</v>
      </c>
      <c r="P940" s="30">
        <v>145015363.69999999</v>
      </c>
      <c r="Q940" s="30">
        <v>7820047.8899999997</v>
      </c>
      <c r="R940" s="30"/>
      <c r="S940" s="30">
        <v>0</v>
      </c>
      <c r="T940" t="s">
        <v>33</v>
      </c>
      <c r="U940" s="31" t="e">
        <v>#N/A</v>
      </c>
      <c r="V940" t="s">
        <v>34</v>
      </c>
      <c r="W940" s="42"/>
      <c r="Y940" t="e">
        <f>VLOOKUP(A940,[2]!PRGX[[#All],[Proveedor]],1,FALSE)</f>
        <v>#REF!</v>
      </c>
      <c r="Z940">
        <v>566400</v>
      </c>
    </row>
    <row r="941" spans="1:26" x14ac:dyDescent="0.25">
      <c r="A941" s="25">
        <v>85464</v>
      </c>
      <c r="B941" s="25" t="s">
        <v>963</v>
      </c>
      <c r="C941" s="26">
        <v>1022</v>
      </c>
      <c r="D941" s="27">
        <v>22061991</v>
      </c>
      <c r="E941" s="27">
        <v>21735402</v>
      </c>
      <c r="F941" s="27">
        <v>326589</v>
      </c>
      <c r="G941" s="27">
        <f>VLOOKUP(A941,'[1]saldos al 26May26'!$C$2:$I$1010,7,FALSE)</f>
        <v>-348011.97</v>
      </c>
      <c r="H941" s="27"/>
      <c r="I941" s="28"/>
      <c r="J941" s="29">
        <v>80840.653452808008</v>
      </c>
      <c r="K941" s="25" t="s">
        <v>40</v>
      </c>
      <c r="L941" s="25" t="s">
        <v>30</v>
      </c>
      <c r="M941" s="25" t="s">
        <v>55</v>
      </c>
      <c r="N941" s="25" t="s">
        <v>45</v>
      </c>
      <c r="O941" t="s">
        <v>45</v>
      </c>
      <c r="P941" s="30">
        <v>26028</v>
      </c>
      <c r="Q941" s="30">
        <v>28731</v>
      </c>
      <c r="R941" s="30"/>
      <c r="S941" s="30" t="e">
        <v>#N/A</v>
      </c>
      <c r="T941" t="s">
        <v>34</v>
      </c>
      <c r="U941" s="31" t="e">
        <v>#N/A</v>
      </c>
      <c r="V941" t="s">
        <v>34</v>
      </c>
      <c r="Y941" t="e">
        <f>VLOOKUP(A941,[2]!PRGX[[#All],[Proveedor]],1,FALSE)</f>
        <v>#REF!</v>
      </c>
    </row>
    <row r="942" spans="1:26" x14ac:dyDescent="0.25">
      <c r="A942" s="25">
        <v>334185</v>
      </c>
      <c r="B942" s="25" t="s">
        <v>964</v>
      </c>
      <c r="C942" s="26">
        <v>1549</v>
      </c>
      <c r="D942" s="27">
        <v>21781444.43</v>
      </c>
      <c r="E942" s="27">
        <v>18874475.07</v>
      </c>
      <c r="F942" s="27">
        <v>2906969.36</v>
      </c>
      <c r="G942" s="27">
        <f>VLOOKUP(A942,'[1]saldos al 26May26'!$C$2:$I$1010,7,FALSE)</f>
        <v>-611367.66</v>
      </c>
      <c r="H942" s="27"/>
      <c r="I942" s="28"/>
      <c r="J942" s="29">
        <v>54036.894514015999</v>
      </c>
      <c r="K942" s="25" t="s">
        <v>40</v>
      </c>
      <c r="L942" s="25" t="s">
        <v>30</v>
      </c>
      <c r="M942" s="25" t="s">
        <v>55</v>
      </c>
      <c r="N942" s="25" t="s">
        <v>70</v>
      </c>
      <c r="O942" t="s">
        <v>70</v>
      </c>
      <c r="P942" s="30">
        <v>0</v>
      </c>
      <c r="Q942" s="30">
        <v>0</v>
      </c>
      <c r="R942" s="30">
        <v>16172.8</v>
      </c>
      <c r="S942" s="30" t="s">
        <v>63</v>
      </c>
      <c r="T942" s="57" t="s">
        <v>33</v>
      </c>
      <c r="U942" s="31" t="s">
        <v>33</v>
      </c>
      <c r="V942" t="s">
        <v>33</v>
      </c>
      <c r="Y942" t="e">
        <f>VLOOKUP(A942,[2]!PRGX[[#All],[Proveedor]],1,FALSE)</f>
        <v>#REF!</v>
      </c>
    </row>
    <row r="943" spans="1:26" x14ac:dyDescent="0.25">
      <c r="A943" s="36">
        <v>1048</v>
      </c>
      <c r="B943" s="36" t="s">
        <v>965</v>
      </c>
      <c r="C943" s="37">
        <v>688</v>
      </c>
      <c r="D943" s="38">
        <v>21758143.870000001</v>
      </c>
      <c r="E943" s="38">
        <v>11487675.870000001</v>
      </c>
      <c r="F943" s="38">
        <v>10270468</v>
      </c>
      <c r="G943" s="38" t="e">
        <f>VLOOKUP(A943,'[1]saldos al 26May26'!$C$2:$I$1010,7,FALSE)</f>
        <v>#N/A</v>
      </c>
      <c r="H943" s="39" t="s">
        <v>54</v>
      </c>
      <c r="I943" s="40"/>
      <c r="J943" s="41">
        <v>205562.54749999999</v>
      </c>
      <c r="K943" s="36" t="s">
        <v>40</v>
      </c>
      <c r="L943" s="36" t="s">
        <v>30</v>
      </c>
      <c r="M943" s="36" t="s">
        <v>55</v>
      </c>
      <c r="N943" s="25" t="s">
        <v>67</v>
      </c>
      <c r="O943" s="42" t="s">
        <v>67</v>
      </c>
      <c r="P943" s="30">
        <v>16593.939999999999</v>
      </c>
      <c r="Q943" s="30">
        <v>0</v>
      </c>
      <c r="R943" s="30"/>
      <c r="S943" s="30" t="e">
        <v>#N/A</v>
      </c>
      <c r="T943" t="s">
        <v>34</v>
      </c>
      <c r="U943" s="31" t="e">
        <v>#N/A</v>
      </c>
      <c r="V943" t="s">
        <v>34</v>
      </c>
      <c r="Y943" t="e">
        <f>VLOOKUP(A943,[2]!PRGX[[#All],[Proveedor]],1,FALSE)</f>
        <v>#REF!</v>
      </c>
    </row>
    <row r="944" spans="1:26" x14ac:dyDescent="0.25">
      <c r="A944" s="25">
        <v>9263</v>
      </c>
      <c r="B944" s="25" t="s">
        <v>966</v>
      </c>
      <c r="C944" s="26">
        <v>3353</v>
      </c>
      <c r="D944" s="27">
        <v>21657933.75</v>
      </c>
      <c r="E944" s="27">
        <v>7383724.6500000004</v>
      </c>
      <c r="F944" s="27">
        <v>14274209.1</v>
      </c>
      <c r="G944" s="27">
        <f>VLOOKUP(A944,'[1]saldos al 26May26'!$C$2:$I$1010,7,FALSE)</f>
        <v>-5353149.45</v>
      </c>
      <c r="H944" s="27"/>
      <c r="I944" s="28"/>
      <c r="J944" s="29">
        <v>131529.5884749665</v>
      </c>
      <c r="K944" s="25" t="s">
        <v>40</v>
      </c>
      <c r="L944" s="25" t="s">
        <v>30</v>
      </c>
      <c r="M944" s="25" t="s">
        <v>31</v>
      </c>
      <c r="N944" s="25" t="s">
        <v>96</v>
      </c>
      <c r="O944" t="s">
        <v>96</v>
      </c>
      <c r="P944" s="32">
        <v>-11497.61</v>
      </c>
      <c r="Q944" s="30">
        <v>0</v>
      </c>
      <c r="R944" s="30">
        <v>18852.03</v>
      </c>
      <c r="S944" s="30" t="e">
        <v>#N/A</v>
      </c>
      <c r="T944" t="s">
        <v>34</v>
      </c>
      <c r="U944" s="31">
        <v>0</v>
      </c>
      <c r="V944" t="s">
        <v>42</v>
      </c>
      <c r="Y944" t="e">
        <f>VLOOKUP(A944,[2]!PRGX[[#All],[Proveedor]],1,FALSE)</f>
        <v>#REF!</v>
      </c>
    </row>
    <row r="945" spans="1:26" x14ac:dyDescent="0.25">
      <c r="A945" s="25">
        <v>1398</v>
      </c>
      <c r="B945" s="25" t="s">
        <v>967</v>
      </c>
      <c r="C945" s="26">
        <v>3648</v>
      </c>
      <c r="D945" s="27">
        <v>21558982.73</v>
      </c>
      <c r="E945" s="27">
        <v>13922233.57</v>
      </c>
      <c r="F945" s="27">
        <v>7636749.1600000001</v>
      </c>
      <c r="G945" s="27">
        <f>VLOOKUP(A945,'[1]saldos al 26May26'!$C$2:$I$1010,7,FALSE)</f>
        <v>-2462152.61</v>
      </c>
      <c r="H945" s="27"/>
      <c r="I945" s="28"/>
      <c r="J945" s="29">
        <v>29474.682765406498</v>
      </c>
      <c r="K945" s="25" t="s">
        <v>40</v>
      </c>
      <c r="L945" s="25" t="s">
        <v>30</v>
      </c>
      <c r="M945" s="25" t="s">
        <v>55</v>
      </c>
      <c r="N945" s="25" t="s">
        <v>51</v>
      </c>
      <c r="O945" t="s">
        <v>51</v>
      </c>
      <c r="P945" s="32">
        <v>-37647.130000000005</v>
      </c>
      <c r="Q945" s="30">
        <v>0</v>
      </c>
      <c r="R945" s="30"/>
      <c r="S945" s="30" t="e">
        <v>#N/A</v>
      </c>
      <c r="T945" t="s">
        <v>34</v>
      </c>
      <c r="U945" s="31" t="e">
        <v>#N/A</v>
      </c>
      <c r="V945" t="s">
        <v>34</v>
      </c>
      <c r="Y945" t="e">
        <f>VLOOKUP(A945,[2]!PRGX[[#All],[Proveedor]],1,FALSE)</f>
        <v>#REF!</v>
      </c>
    </row>
    <row r="946" spans="1:26" x14ac:dyDescent="0.25">
      <c r="A946" s="25">
        <v>24877</v>
      </c>
      <c r="B946" s="25" t="s">
        <v>968</v>
      </c>
      <c r="C946" s="26">
        <v>84</v>
      </c>
      <c r="D946" s="27">
        <v>21331764.800000001</v>
      </c>
      <c r="E946" s="27">
        <v>14480756.800000001</v>
      </c>
      <c r="F946" s="27">
        <v>6851008</v>
      </c>
      <c r="G946" s="27">
        <f>VLOOKUP(A946,'[1]saldos al 26May26'!$C$2:$I$1010,7,FALSE)</f>
        <v>-799278.8</v>
      </c>
      <c r="H946" s="27"/>
      <c r="I946" s="28"/>
      <c r="J946" s="29">
        <v>195581.91999999998</v>
      </c>
      <c r="K946" s="25" t="s">
        <v>40</v>
      </c>
      <c r="L946" s="25" t="s">
        <v>30</v>
      </c>
      <c r="M946" s="25" t="s">
        <v>31</v>
      </c>
      <c r="N946" s="25" t="s">
        <v>96</v>
      </c>
      <c r="O946" t="s">
        <v>96</v>
      </c>
      <c r="P946" s="30">
        <v>0</v>
      </c>
      <c r="Q946" s="30">
        <v>0</v>
      </c>
      <c r="R946" s="30"/>
      <c r="S946" s="30" t="e">
        <v>#N/A</v>
      </c>
      <c r="T946" t="s">
        <v>34</v>
      </c>
      <c r="U946" s="31" t="e">
        <v>#N/A</v>
      </c>
      <c r="V946" t="s">
        <v>34</v>
      </c>
      <c r="Y946" t="e">
        <f>VLOOKUP(A946,[2]!PRGX[[#All],[Proveedor]],1,FALSE)</f>
        <v>#REF!</v>
      </c>
    </row>
    <row r="947" spans="1:26" s="42" customFormat="1" x14ac:dyDescent="0.25">
      <c r="A947" s="25">
        <v>24388</v>
      </c>
      <c r="B947" s="25" t="s">
        <v>969</v>
      </c>
      <c r="C947" s="26">
        <v>105</v>
      </c>
      <c r="D947" s="27">
        <v>20967035.25</v>
      </c>
      <c r="E947" s="27">
        <v>17590104</v>
      </c>
      <c r="F947" s="27">
        <v>3376931.25</v>
      </c>
      <c r="G947" s="27">
        <f>VLOOKUP(A947,'[1]saldos al 26May26'!$C$2:$I$1010,7,FALSE)</f>
        <v>285516.64</v>
      </c>
      <c r="H947" s="39" t="s">
        <v>54</v>
      </c>
      <c r="I947" s="28"/>
      <c r="J947" s="29">
        <v>141329.614159127</v>
      </c>
      <c r="K947" s="25" t="s">
        <v>40</v>
      </c>
      <c r="L947" s="25" t="s">
        <v>30</v>
      </c>
      <c r="M947" s="25" t="s">
        <v>55</v>
      </c>
      <c r="N947" s="25" t="s">
        <v>47</v>
      </c>
      <c r="O947" t="s">
        <v>47</v>
      </c>
      <c r="P947" s="32">
        <v>-23005.119999999999</v>
      </c>
      <c r="Q947" s="30">
        <v>0</v>
      </c>
      <c r="R947" s="30"/>
      <c r="S947" s="30" t="e">
        <v>#N/A</v>
      </c>
      <c r="T947" t="s">
        <v>34</v>
      </c>
      <c r="U947" s="31" t="e">
        <v>#N/A</v>
      </c>
      <c r="V947" t="s">
        <v>34</v>
      </c>
      <c r="W947"/>
      <c r="Y947" t="e">
        <f>VLOOKUP(A947,[2]!PRGX[[#All],[Proveedor]],1,FALSE)</f>
        <v>#REF!</v>
      </c>
      <c r="Z947"/>
    </row>
    <row r="948" spans="1:26" x14ac:dyDescent="0.25">
      <c r="A948" s="25">
        <v>49569</v>
      </c>
      <c r="B948" s="25" t="s">
        <v>970</v>
      </c>
      <c r="C948" s="26">
        <v>7992</v>
      </c>
      <c r="D948" s="27">
        <v>20651990.77</v>
      </c>
      <c r="E948" s="27">
        <v>17478774.149999999</v>
      </c>
      <c r="F948" s="27">
        <v>3173216.62</v>
      </c>
      <c r="G948" s="27">
        <f>VLOOKUP(A948,'[1]saldos al 26May26'!$C$2:$I$1010,7,FALSE)</f>
        <v>-250257.92000000001</v>
      </c>
      <c r="H948" s="27"/>
      <c r="I948" s="28"/>
      <c r="J948" s="29">
        <v>36165.281416855003</v>
      </c>
      <c r="K948" s="25" t="s">
        <v>40</v>
      </c>
      <c r="L948" s="25" t="s">
        <v>30</v>
      </c>
      <c r="M948" s="25" t="s">
        <v>55</v>
      </c>
      <c r="N948" s="25" t="s">
        <v>36</v>
      </c>
      <c r="O948" t="s">
        <v>36</v>
      </c>
      <c r="P948" s="32">
        <v>-1.1000000000000001</v>
      </c>
      <c r="Q948" s="30">
        <v>0</v>
      </c>
      <c r="R948" s="30"/>
      <c r="S948" s="30" t="e">
        <v>#N/A</v>
      </c>
      <c r="T948" t="s">
        <v>34</v>
      </c>
      <c r="U948" s="31" t="e">
        <v>#N/A</v>
      </c>
      <c r="V948" t="s">
        <v>34</v>
      </c>
      <c r="Y948" t="e">
        <f>VLOOKUP(A948,[2]!PRGX[[#All],[Proveedor]],1,FALSE)</f>
        <v>#REF!</v>
      </c>
    </row>
    <row r="949" spans="1:26" x14ac:dyDescent="0.25">
      <c r="A949" s="25">
        <v>8073</v>
      </c>
      <c r="B949" s="25" t="s">
        <v>971</v>
      </c>
      <c r="C949" s="26">
        <v>2140</v>
      </c>
      <c r="D949" s="27">
        <v>20394961.859999999</v>
      </c>
      <c r="E949" s="27">
        <v>19267121.859999999</v>
      </c>
      <c r="F949" s="27">
        <v>1127840</v>
      </c>
      <c r="G949" s="27">
        <f>VLOOKUP(A949,'[1]saldos al 26May26'!$C$2:$I$1010,7,FALSE)</f>
        <v>-23.2</v>
      </c>
      <c r="H949" s="27"/>
      <c r="I949" s="28"/>
      <c r="J949" s="29">
        <v>70089.090524476807</v>
      </c>
      <c r="K949" s="25" t="s">
        <v>40</v>
      </c>
      <c r="L949" s="25" t="s">
        <v>30</v>
      </c>
      <c r="M949" s="25" t="s">
        <v>55</v>
      </c>
      <c r="N949" s="25" t="s">
        <v>38</v>
      </c>
      <c r="O949" t="s">
        <v>38</v>
      </c>
      <c r="P949" s="30">
        <v>564.54</v>
      </c>
      <c r="Q949" s="30">
        <v>7916.03</v>
      </c>
      <c r="R949" s="30"/>
      <c r="S949" s="30" t="s">
        <v>63</v>
      </c>
      <c r="T949" s="57" t="s">
        <v>33</v>
      </c>
      <c r="U949" s="31" t="s">
        <v>33</v>
      </c>
      <c r="V949" t="s">
        <v>33</v>
      </c>
      <c r="Y949" t="e">
        <f>VLOOKUP(A949,[2]!PRGX[[#All],[Proveedor]],1,FALSE)</f>
        <v>#REF!</v>
      </c>
    </row>
    <row r="950" spans="1:26" x14ac:dyDescent="0.25">
      <c r="A950" s="36">
        <v>63701</v>
      </c>
      <c r="B950" s="36" t="s">
        <v>972</v>
      </c>
      <c r="C950" s="37">
        <v>1975</v>
      </c>
      <c r="D950" s="38">
        <v>20037689.420000002</v>
      </c>
      <c r="E950" s="38">
        <v>18542958.890000001</v>
      </c>
      <c r="F950" s="38">
        <v>1494730.53</v>
      </c>
      <c r="G950" s="38" t="e">
        <f>VLOOKUP(A950,'[1]saldos al 26May26'!$C$2:$I$1010,7,FALSE)</f>
        <v>#N/A</v>
      </c>
      <c r="H950" s="39" t="s">
        <v>54</v>
      </c>
      <c r="I950" s="40"/>
      <c r="J950" s="41">
        <v>41830.349780110999</v>
      </c>
      <c r="K950" s="36" t="s">
        <v>40</v>
      </c>
      <c r="L950" s="36" t="s">
        <v>30</v>
      </c>
      <c r="M950" s="36" t="s">
        <v>55</v>
      </c>
      <c r="N950" s="25" t="s">
        <v>80</v>
      </c>
      <c r="O950" s="42" t="s">
        <v>80</v>
      </c>
      <c r="P950" s="32">
        <v>-5446.93</v>
      </c>
      <c r="Q950" s="30">
        <v>0</v>
      </c>
      <c r="R950" s="30"/>
      <c r="S950" s="30" t="e">
        <v>#N/A</v>
      </c>
      <c r="T950" t="s">
        <v>34</v>
      </c>
      <c r="U950" s="31" t="e">
        <v>#N/A</v>
      </c>
      <c r="V950" t="s">
        <v>34</v>
      </c>
      <c r="W950" s="42"/>
      <c r="Y950" t="e">
        <f>VLOOKUP(A950,[2]!PRGX[[#All],[Proveedor]],1,FALSE)</f>
        <v>#REF!</v>
      </c>
    </row>
    <row r="951" spans="1:26" s="42" customFormat="1" x14ac:dyDescent="0.25">
      <c r="A951" s="25">
        <v>21753</v>
      </c>
      <c r="B951" s="25" t="s">
        <v>973</v>
      </c>
      <c r="C951" s="26">
        <v>4831</v>
      </c>
      <c r="D951" s="27">
        <v>19986492.100000001</v>
      </c>
      <c r="E951" s="27">
        <v>18742783.550000001</v>
      </c>
      <c r="F951" s="27">
        <v>1243708.55</v>
      </c>
      <c r="G951" s="27">
        <f>VLOOKUP(A951,'[1]saldos al 26May26'!$C$2:$I$1010,7,FALSE)</f>
        <v>-192345.08</v>
      </c>
      <c r="H951" s="27"/>
      <c r="I951" s="28"/>
      <c r="J951" s="29">
        <v>630148.76079165796</v>
      </c>
      <c r="K951" s="25" t="s">
        <v>40</v>
      </c>
      <c r="L951" s="25" t="s">
        <v>30</v>
      </c>
      <c r="M951" s="25" t="s">
        <v>50</v>
      </c>
      <c r="N951" s="25" t="s">
        <v>96</v>
      </c>
      <c r="O951" t="s">
        <v>96</v>
      </c>
      <c r="P951" s="30">
        <v>1601428.5299999998</v>
      </c>
      <c r="Q951" s="30">
        <v>0</v>
      </c>
      <c r="R951" s="30"/>
      <c r="S951" s="30">
        <v>0</v>
      </c>
      <c r="T951" t="s">
        <v>42</v>
      </c>
      <c r="U951" s="31" t="e">
        <v>#N/A</v>
      </c>
      <c r="V951" t="s">
        <v>34</v>
      </c>
      <c r="W951"/>
      <c r="Y951" t="e">
        <f>VLOOKUP(A951,[2]!PRGX[[#All],[Proveedor]],1,FALSE)</f>
        <v>#REF!</v>
      </c>
      <c r="Z951"/>
    </row>
    <row r="952" spans="1:26" x14ac:dyDescent="0.25">
      <c r="A952" s="44">
        <v>23490</v>
      </c>
      <c r="B952" s="44" t="s">
        <v>974</v>
      </c>
      <c r="C952" s="45">
        <v>3331</v>
      </c>
      <c r="D952" s="39">
        <v>19893639.239999998</v>
      </c>
      <c r="E952" s="39">
        <v>19848621.239999998</v>
      </c>
      <c r="F952" s="39">
        <v>45018</v>
      </c>
      <c r="G952" s="39">
        <f>VLOOKUP(A952,'[1]saldos al 26May26'!$C$2:$I$1010,7,FALSE)</f>
        <v>287183.8</v>
      </c>
      <c r="H952" s="39" t="s">
        <v>54</v>
      </c>
      <c r="I952" s="46"/>
      <c r="J952" s="47">
        <v>1087452.3338878306</v>
      </c>
      <c r="K952" s="44" t="s">
        <v>40</v>
      </c>
      <c r="L952" s="44" t="s">
        <v>30</v>
      </c>
      <c r="M952" s="44" t="s">
        <v>61</v>
      </c>
      <c r="N952" s="25" t="s">
        <v>80</v>
      </c>
      <c r="O952" s="43" t="s">
        <v>80</v>
      </c>
      <c r="P952" s="32">
        <v>-9878.33</v>
      </c>
      <c r="Q952" s="30">
        <v>0</v>
      </c>
      <c r="R952" s="30">
        <v>1129</v>
      </c>
      <c r="S952" s="30" t="s">
        <v>63</v>
      </c>
      <c r="T952" t="s">
        <v>33</v>
      </c>
      <c r="U952" s="31" t="e">
        <v>#N/A</v>
      </c>
      <c r="V952" t="s">
        <v>34</v>
      </c>
      <c r="Y952" t="e">
        <f>VLOOKUP(A952,[2]!PRGX[[#All],[Proveedor]],1,FALSE)</f>
        <v>#REF!</v>
      </c>
    </row>
    <row r="953" spans="1:26" x14ac:dyDescent="0.25">
      <c r="A953" s="25">
        <v>391961</v>
      </c>
      <c r="B953" s="25" t="s">
        <v>975</v>
      </c>
      <c r="C953" s="26">
        <v>2970</v>
      </c>
      <c r="D953" s="27">
        <v>19747852.690000001</v>
      </c>
      <c r="E953" s="27">
        <v>17607457.670000002</v>
      </c>
      <c r="F953" s="27">
        <v>2140395.02</v>
      </c>
      <c r="G953" s="27">
        <f>VLOOKUP(A953,'[1]saldos al 26May26'!$C$2:$I$1010,7,FALSE)</f>
        <v>-180298.96</v>
      </c>
      <c r="H953" s="27"/>
      <c r="I953" s="28"/>
      <c r="J953" s="29">
        <v>147022.97637900201</v>
      </c>
      <c r="K953" s="25" t="s">
        <v>40</v>
      </c>
      <c r="L953" s="25" t="s">
        <v>30</v>
      </c>
      <c r="M953" s="25" t="s">
        <v>31</v>
      </c>
      <c r="N953" s="25" t="s">
        <v>45</v>
      </c>
      <c r="O953" t="s">
        <v>45</v>
      </c>
      <c r="P953" s="32">
        <v>-26515.37</v>
      </c>
      <c r="Q953" s="30">
        <v>104664.68</v>
      </c>
      <c r="R953" s="30"/>
      <c r="S953" s="30" t="e">
        <v>#N/A</v>
      </c>
      <c r="T953" t="s">
        <v>34</v>
      </c>
      <c r="U953" s="31" t="e">
        <v>#N/A</v>
      </c>
      <c r="V953" t="s">
        <v>34</v>
      </c>
      <c r="Y953" t="e">
        <f>VLOOKUP(A953,[2]!PRGX[[#All],[Proveedor]],1,FALSE)</f>
        <v>#REF!</v>
      </c>
    </row>
    <row r="954" spans="1:26" x14ac:dyDescent="0.25">
      <c r="A954" s="25">
        <v>167</v>
      </c>
      <c r="B954" s="25" t="s">
        <v>976</v>
      </c>
      <c r="C954" s="26">
        <v>6171</v>
      </c>
      <c r="D954" s="27">
        <v>19540566.129999999</v>
      </c>
      <c r="E954" s="27">
        <v>16313956.93</v>
      </c>
      <c r="F954" s="27">
        <v>3226609.2</v>
      </c>
      <c r="G954" s="27">
        <f>VLOOKUP(A954,'[1]saldos al 26May26'!$C$2:$I$1010,7,FALSE)</f>
        <v>-412022.15</v>
      </c>
      <c r="H954" s="27"/>
      <c r="I954" s="28"/>
      <c r="J954" s="29">
        <v>359488.83095963299</v>
      </c>
      <c r="K954" s="25" t="s">
        <v>40</v>
      </c>
      <c r="L954" s="25" t="s">
        <v>30</v>
      </c>
      <c r="M954" s="25" t="s">
        <v>31</v>
      </c>
      <c r="N954" s="25" t="s">
        <v>87</v>
      </c>
      <c r="O954" t="s">
        <v>87</v>
      </c>
      <c r="P954" s="32">
        <v>-3132</v>
      </c>
      <c r="Q954" s="30">
        <v>0</v>
      </c>
      <c r="R954" s="30"/>
      <c r="S954" s="30" t="e">
        <v>#N/A</v>
      </c>
      <c r="T954" t="s">
        <v>34</v>
      </c>
      <c r="U954" s="31">
        <v>0</v>
      </c>
      <c r="V954" t="s">
        <v>42</v>
      </c>
      <c r="Y954" t="e">
        <f>VLOOKUP(A954,[2]!PRGX[[#All],[Proveedor]],1,FALSE)</f>
        <v>#REF!</v>
      </c>
    </row>
    <row r="955" spans="1:26" x14ac:dyDescent="0.25">
      <c r="A955" s="36">
        <v>21930</v>
      </c>
      <c r="B955" s="36" t="s">
        <v>977</v>
      </c>
      <c r="C955" s="37">
        <v>166</v>
      </c>
      <c r="D955" s="38">
        <v>19338798.699999999</v>
      </c>
      <c r="E955" s="38">
        <v>18427734.699999999</v>
      </c>
      <c r="F955" s="38">
        <v>911064</v>
      </c>
      <c r="G955" s="38">
        <f>VLOOKUP(A955,'[1]saldos al 26May26'!$C$2:$I$1010,7,FALSE)</f>
        <v>6020</v>
      </c>
      <c r="H955" s="39" t="s">
        <v>54</v>
      </c>
      <c r="I955" s="40"/>
      <c r="J955" s="41">
        <v>1145217.1168380545</v>
      </c>
      <c r="K955" s="36" t="s">
        <v>40</v>
      </c>
      <c r="L955" s="36" t="s">
        <v>30</v>
      </c>
      <c r="M955" s="36" t="s">
        <v>55</v>
      </c>
      <c r="N955" s="25" t="s">
        <v>36</v>
      </c>
      <c r="O955" s="42" t="s">
        <v>36</v>
      </c>
      <c r="P955" s="30">
        <v>0</v>
      </c>
      <c r="Q955" s="30">
        <v>0</v>
      </c>
      <c r="R955" s="30"/>
      <c r="S955" s="30" t="e">
        <v>#N/A</v>
      </c>
      <c r="T955" t="s">
        <v>34</v>
      </c>
      <c r="U955" s="31" t="e">
        <v>#N/A</v>
      </c>
      <c r="V955" t="s">
        <v>34</v>
      </c>
      <c r="Y955" t="e">
        <f>VLOOKUP(A955,[2]!PRGX[[#All],[Proveedor]],1,FALSE)</f>
        <v>#REF!</v>
      </c>
    </row>
    <row r="956" spans="1:26" x14ac:dyDescent="0.25">
      <c r="A956" s="25">
        <v>23873</v>
      </c>
      <c r="B956" s="25" t="s">
        <v>978</v>
      </c>
      <c r="C956" s="26">
        <v>576</v>
      </c>
      <c r="D956" s="27">
        <v>19093724</v>
      </c>
      <c r="E956" s="27">
        <v>5230485</v>
      </c>
      <c r="F956" s="27">
        <v>13863239</v>
      </c>
      <c r="G956" s="27">
        <f>VLOOKUP(A956,'[1]saldos al 26May26'!$C$2:$I$1010,7,FALSE)</f>
        <v>-1830167.6</v>
      </c>
      <c r="H956" s="27"/>
      <c r="I956" s="28"/>
      <c r="J956" s="29">
        <v>255231.61887887499</v>
      </c>
      <c r="K956" s="25" t="s">
        <v>40</v>
      </c>
      <c r="L956" s="25" t="s">
        <v>30</v>
      </c>
      <c r="M956" s="25" t="s">
        <v>31</v>
      </c>
      <c r="N956" s="25" t="s">
        <v>67</v>
      </c>
      <c r="O956" t="s">
        <v>67</v>
      </c>
      <c r="P956" s="32">
        <v>-339058.72</v>
      </c>
      <c r="Q956" s="30">
        <v>0</v>
      </c>
      <c r="R956" s="30"/>
      <c r="S956" s="30" t="e">
        <v>#N/A</v>
      </c>
      <c r="T956" t="s">
        <v>34</v>
      </c>
      <c r="U956" s="31" t="e">
        <v>#N/A</v>
      </c>
      <c r="V956" t="s">
        <v>34</v>
      </c>
      <c r="Y956" t="e">
        <f>VLOOKUP(A956,[2]!PRGX[[#All],[Proveedor]],1,FALSE)</f>
        <v>#REF!</v>
      </c>
    </row>
    <row r="957" spans="1:26" x14ac:dyDescent="0.25">
      <c r="A957" s="25">
        <v>23533</v>
      </c>
      <c r="B957" s="25" t="s">
        <v>979</v>
      </c>
      <c r="C957" s="26">
        <v>2436</v>
      </c>
      <c r="D957" s="27">
        <v>19076916.640000001</v>
      </c>
      <c r="E957" s="27">
        <v>13561588.640000001</v>
      </c>
      <c r="F957" s="27">
        <v>5515328</v>
      </c>
      <c r="G957" s="27">
        <f>VLOOKUP(A957,'[1]saldos al 26May26'!$C$2:$I$1010,7,FALSE)</f>
        <v>-118093.12</v>
      </c>
      <c r="H957" s="27"/>
      <c r="I957" s="28"/>
      <c r="J957" s="29">
        <v>1013055.3322888245</v>
      </c>
      <c r="K957" s="25" t="s">
        <v>40</v>
      </c>
      <c r="L957" s="25" t="s">
        <v>30</v>
      </c>
      <c r="M957" s="25" t="s">
        <v>59</v>
      </c>
      <c r="N957" s="25" t="s">
        <v>87</v>
      </c>
      <c r="O957" t="s">
        <v>87</v>
      </c>
      <c r="P957" s="32">
        <v>-91169.279999999999</v>
      </c>
      <c r="Q957" s="30">
        <v>0</v>
      </c>
      <c r="R957" s="30"/>
      <c r="S957" s="30" t="e">
        <v>#N/A</v>
      </c>
      <c r="T957" t="s">
        <v>34</v>
      </c>
      <c r="U957" s="31" t="e">
        <v>#N/A</v>
      </c>
      <c r="V957" t="s">
        <v>34</v>
      </c>
      <c r="Y957" t="e">
        <f>VLOOKUP(A957,[2]!PRGX[[#All],[Proveedor]],1,FALSE)</f>
        <v>#REF!</v>
      </c>
    </row>
    <row r="958" spans="1:26" x14ac:dyDescent="0.25">
      <c r="A958" s="25">
        <v>384289</v>
      </c>
      <c r="B958" s="25" t="s">
        <v>980</v>
      </c>
      <c r="C958" s="26">
        <v>298</v>
      </c>
      <c r="D958" s="27">
        <v>18942159.600000001</v>
      </c>
      <c r="E958" s="27">
        <v>16945563.600000001</v>
      </c>
      <c r="F958" s="27">
        <v>1996596</v>
      </c>
      <c r="G958" s="27">
        <f>VLOOKUP(A958,'[1]saldos al 26May26'!$C$2:$I$1010,7,FALSE)</f>
        <v>-1021292.59</v>
      </c>
      <c r="H958" s="27"/>
      <c r="I958" s="28"/>
      <c r="J958" s="29">
        <v>56259</v>
      </c>
      <c r="K958" s="25" t="s">
        <v>40</v>
      </c>
      <c r="L958" s="25" t="s">
        <v>30</v>
      </c>
      <c r="M958" s="25" t="s">
        <v>55</v>
      </c>
      <c r="N958" s="25" t="s">
        <v>45</v>
      </c>
      <c r="O958" t="s">
        <v>45</v>
      </c>
      <c r="P958" s="32">
        <v>-259186.22000000003</v>
      </c>
      <c r="Q958" s="30">
        <v>0</v>
      </c>
      <c r="R958" s="30"/>
      <c r="S958" s="30" t="e">
        <v>#N/A</v>
      </c>
      <c r="T958" t="s">
        <v>34</v>
      </c>
      <c r="U958" s="31" t="e">
        <v>#N/A</v>
      </c>
      <c r="V958" t="s">
        <v>34</v>
      </c>
      <c r="Y958" t="e">
        <f>VLOOKUP(A958,[2]!PRGX[[#All],[Proveedor]],1,FALSE)</f>
        <v>#REF!</v>
      </c>
    </row>
    <row r="959" spans="1:26" x14ac:dyDescent="0.25">
      <c r="A959" s="25">
        <v>397547</v>
      </c>
      <c r="B959" s="25" t="s">
        <v>981</v>
      </c>
      <c r="C959" s="26">
        <v>3714</v>
      </c>
      <c r="D959" s="27">
        <v>18584868.289999999</v>
      </c>
      <c r="E959" s="27">
        <v>16045697.09</v>
      </c>
      <c r="F959" s="27">
        <v>2539171.2000000002</v>
      </c>
      <c r="G959" s="27">
        <f>VLOOKUP(A959,'[1]saldos al 26May26'!$C$2:$I$1010,7,FALSE)</f>
        <v>-160402.68</v>
      </c>
      <c r="H959" s="27"/>
      <c r="I959" s="28"/>
      <c r="J959" s="29">
        <v>44793.867583173997</v>
      </c>
      <c r="K959" s="25" t="s">
        <v>40</v>
      </c>
      <c r="L959" s="25" t="s">
        <v>30</v>
      </c>
      <c r="M959" s="25" t="s">
        <v>55</v>
      </c>
      <c r="N959" s="25" t="s">
        <v>67</v>
      </c>
      <c r="O959" t="s">
        <v>67</v>
      </c>
      <c r="P959" s="32">
        <v>-5.8</v>
      </c>
      <c r="Q959" s="30">
        <v>11010.12</v>
      </c>
      <c r="R959" s="30"/>
      <c r="S959" s="30" t="e">
        <v>#N/A</v>
      </c>
      <c r="T959" t="s">
        <v>34</v>
      </c>
      <c r="U959" s="31">
        <v>0</v>
      </c>
      <c r="V959" t="s">
        <v>42</v>
      </c>
      <c r="Y959" t="e">
        <f>VLOOKUP(A959,[2]!PRGX[[#All],[Proveedor]],1,FALSE)</f>
        <v>#REF!</v>
      </c>
    </row>
    <row r="960" spans="1:26" x14ac:dyDescent="0.25">
      <c r="A960" s="25">
        <v>384461</v>
      </c>
      <c r="B960" s="25" t="s">
        <v>982</v>
      </c>
      <c r="C960" s="26">
        <v>398</v>
      </c>
      <c r="D960" s="27">
        <v>18491208.620000001</v>
      </c>
      <c r="E960" s="27">
        <v>11936419.82</v>
      </c>
      <c r="F960" s="27">
        <v>6554788.7999999998</v>
      </c>
      <c r="G960" s="27">
        <f>VLOOKUP(A960,'[1]saldos al 26May26'!$C$2:$I$1010,7,FALSE)</f>
        <v>-67844.399999999994</v>
      </c>
      <c r="H960" s="27"/>
      <c r="I960" s="28"/>
      <c r="J960" s="29">
        <v>232848</v>
      </c>
      <c r="K960" s="25" t="s">
        <v>40</v>
      </c>
      <c r="L960" s="25" t="s">
        <v>30</v>
      </c>
      <c r="M960" s="25" t="s">
        <v>31</v>
      </c>
      <c r="N960" s="25" t="s">
        <v>41</v>
      </c>
      <c r="O960" t="s">
        <v>41</v>
      </c>
      <c r="P960" s="30">
        <v>0</v>
      </c>
      <c r="Q960" s="30">
        <v>0</v>
      </c>
      <c r="R960" s="30"/>
      <c r="S960" s="30" t="s">
        <v>63</v>
      </c>
      <c r="T960" s="57" t="s">
        <v>33</v>
      </c>
      <c r="U960" s="31" t="s">
        <v>33</v>
      </c>
      <c r="V960" t="s">
        <v>33</v>
      </c>
      <c r="Y960" t="e">
        <f>VLOOKUP(A960,[2]!PRGX[[#All],[Proveedor]],1,FALSE)</f>
        <v>#REF!</v>
      </c>
    </row>
    <row r="961" spans="1:26" x14ac:dyDescent="0.25">
      <c r="A961" s="25">
        <v>12365</v>
      </c>
      <c r="B961" s="25" t="s">
        <v>983</v>
      </c>
      <c r="C961" s="26">
        <v>2191</v>
      </c>
      <c r="D961" s="27">
        <v>18433033.5</v>
      </c>
      <c r="E961" s="27">
        <v>15411510.300000001</v>
      </c>
      <c r="F961" s="27">
        <v>3021523.2</v>
      </c>
      <c r="G961" s="27">
        <f>VLOOKUP(A961,'[1]saldos al 26May26'!$C$2:$I$1010,7,FALSE)</f>
        <v>-542895.18000000005</v>
      </c>
      <c r="H961" s="27"/>
      <c r="I961" s="28"/>
      <c r="J961" s="29">
        <v>35582.43331855</v>
      </c>
      <c r="K961" s="25" t="s">
        <v>40</v>
      </c>
      <c r="L961" s="25" t="s">
        <v>30</v>
      </c>
      <c r="M961" s="25" t="s">
        <v>55</v>
      </c>
      <c r="N961" s="25" t="s">
        <v>41</v>
      </c>
      <c r="O961" t="s">
        <v>41</v>
      </c>
      <c r="P961" s="32">
        <v>-18277.439999999999</v>
      </c>
      <c r="Q961" s="30">
        <v>19837.599999999999</v>
      </c>
      <c r="R961" s="30">
        <v>1906</v>
      </c>
      <c r="S961" s="30" t="e">
        <v>#N/A</v>
      </c>
      <c r="T961" t="s">
        <v>34</v>
      </c>
      <c r="U961" s="31" t="e">
        <v>#N/A</v>
      </c>
      <c r="V961" t="s">
        <v>34</v>
      </c>
      <c r="Y961" t="e">
        <f>VLOOKUP(A961,[2]!PRGX[[#All],[Proveedor]],1,FALSE)</f>
        <v>#REF!</v>
      </c>
    </row>
    <row r="962" spans="1:26" s="42" customFormat="1" x14ac:dyDescent="0.25">
      <c r="A962" s="25">
        <v>24072</v>
      </c>
      <c r="B962" s="25" t="s">
        <v>984</v>
      </c>
      <c r="C962" s="26">
        <v>562</v>
      </c>
      <c r="D962" s="27">
        <v>18376751.760000002</v>
      </c>
      <c r="E962" s="27">
        <v>14416815.840000002</v>
      </c>
      <c r="F962" s="27">
        <v>3959935.92</v>
      </c>
      <c r="G962" s="27">
        <f>VLOOKUP(A962,'[1]saldos al 26May26'!$C$2:$I$1010,7,FALSE)</f>
        <v>0</v>
      </c>
      <c r="H962" s="39" t="s">
        <v>54</v>
      </c>
      <c r="I962" s="28"/>
      <c r="J962" s="29">
        <v>295690.44765945745</v>
      </c>
      <c r="K962" s="25" t="s">
        <v>40</v>
      </c>
      <c r="L962" s="25" t="s">
        <v>30</v>
      </c>
      <c r="M962" s="36" t="s">
        <v>55</v>
      </c>
      <c r="N962" s="25" t="s">
        <v>41</v>
      </c>
      <c r="O962" t="s">
        <v>41</v>
      </c>
      <c r="P962" s="30">
        <v>0</v>
      </c>
      <c r="Q962" s="30">
        <v>0</v>
      </c>
      <c r="R962" s="30">
        <v>500000</v>
      </c>
      <c r="S962" s="30" t="e">
        <v>#N/A</v>
      </c>
      <c r="T962" t="s">
        <v>34</v>
      </c>
      <c r="U962" s="31" t="e">
        <v>#N/A</v>
      </c>
      <c r="V962" t="s">
        <v>34</v>
      </c>
      <c r="W962"/>
      <c r="Y962" t="e">
        <f>VLOOKUP(A962,[2]!PRGX[[#All],[Proveedor]],1,FALSE)</f>
        <v>#REF!</v>
      </c>
      <c r="Z962"/>
    </row>
    <row r="963" spans="1:26" x14ac:dyDescent="0.25">
      <c r="A963" s="25">
        <v>13662</v>
      </c>
      <c r="B963" s="25" t="s">
        <v>985</v>
      </c>
      <c r="C963" s="26">
        <v>1181</v>
      </c>
      <c r="D963" s="27">
        <v>18356009.510000002</v>
      </c>
      <c r="E963" s="27">
        <v>15436801.910000002</v>
      </c>
      <c r="F963" s="27">
        <v>2919207.6</v>
      </c>
      <c r="G963" s="27">
        <f>VLOOKUP(A963,'[1]saldos al 26May26'!$C$2:$I$1010,7,FALSE)</f>
        <v>-635564.77</v>
      </c>
      <c r="H963" s="27"/>
      <c r="I963" s="28"/>
      <c r="J963" s="29">
        <v>36417.277527346487</v>
      </c>
      <c r="K963" s="25" t="s">
        <v>40</v>
      </c>
      <c r="L963" s="25" t="s">
        <v>30</v>
      </c>
      <c r="M963" s="25" t="s">
        <v>55</v>
      </c>
      <c r="N963" s="25" t="s">
        <v>51</v>
      </c>
      <c r="O963" t="s">
        <v>51</v>
      </c>
      <c r="P963" s="32">
        <v>-17885.2</v>
      </c>
      <c r="Q963" s="30">
        <v>0</v>
      </c>
      <c r="R963" s="30">
        <v>137078.49</v>
      </c>
      <c r="S963" s="30" t="e">
        <v>#N/A</v>
      </c>
      <c r="T963" t="s">
        <v>34</v>
      </c>
      <c r="U963" s="31" t="e">
        <v>#N/A</v>
      </c>
      <c r="V963" t="s">
        <v>34</v>
      </c>
      <c r="Y963" t="e">
        <f>VLOOKUP(A963,[2]!PRGX[[#All],[Proveedor]],1,FALSE)</f>
        <v>#REF!</v>
      </c>
    </row>
    <row r="964" spans="1:26" x14ac:dyDescent="0.25">
      <c r="A964" s="25">
        <v>20337</v>
      </c>
      <c r="B964" s="25" t="s">
        <v>986</v>
      </c>
      <c r="C964" s="26">
        <v>3605</v>
      </c>
      <c r="D964" s="27">
        <v>18098472.98</v>
      </c>
      <c r="E964" s="27">
        <v>13249527.18</v>
      </c>
      <c r="F964" s="27">
        <v>4848945.8</v>
      </c>
      <c r="G964" s="27">
        <f>VLOOKUP(A964,'[1]saldos al 26May26'!$C$2:$I$1010,7,FALSE)</f>
        <v>-1193982.82</v>
      </c>
      <c r="H964" s="27"/>
      <c r="I964" s="28"/>
      <c r="J964" s="29">
        <v>320551.99849770247</v>
      </c>
      <c r="K964" s="25" t="s">
        <v>40</v>
      </c>
      <c r="L964" s="25" t="s">
        <v>30</v>
      </c>
      <c r="M964" s="25" t="s">
        <v>31</v>
      </c>
      <c r="N964" s="25" t="s">
        <v>96</v>
      </c>
      <c r="O964" t="s">
        <v>96</v>
      </c>
      <c r="P964" s="32">
        <v>-36559.120000000003</v>
      </c>
      <c r="Q964" s="30">
        <v>0</v>
      </c>
      <c r="R964" s="30"/>
      <c r="S964" s="30" t="e">
        <v>#N/A</v>
      </c>
      <c r="T964" t="s">
        <v>34</v>
      </c>
      <c r="U964" s="31" t="e">
        <v>#N/A</v>
      </c>
      <c r="V964" t="s">
        <v>34</v>
      </c>
      <c r="Y964" t="e">
        <f>VLOOKUP(A964,[2]!PRGX[[#All],[Proveedor]],1,FALSE)</f>
        <v>#REF!</v>
      </c>
    </row>
    <row r="965" spans="1:26" x14ac:dyDescent="0.25">
      <c r="A965" s="25">
        <v>8859</v>
      </c>
      <c r="B965" s="25" t="s">
        <v>987</v>
      </c>
      <c r="C965" s="26">
        <v>6909</v>
      </c>
      <c r="D965" s="27">
        <v>17954699.140000001</v>
      </c>
      <c r="E965" s="27">
        <v>14084206.950000001</v>
      </c>
      <c r="F965" s="27">
        <v>3870492.19</v>
      </c>
      <c r="G965" s="27">
        <f>VLOOKUP(A965,'[1]saldos al 26May26'!$C$2:$I$1010,7,FALSE)</f>
        <v>-1639208.42</v>
      </c>
      <c r="H965" s="27"/>
      <c r="I965" s="28"/>
      <c r="J965" s="29">
        <v>198331.54305546649</v>
      </c>
      <c r="K965" s="25" t="s">
        <v>40</v>
      </c>
      <c r="L965" s="25" t="s">
        <v>30</v>
      </c>
      <c r="M965" s="25" t="s">
        <v>31</v>
      </c>
      <c r="N965" s="25" t="s">
        <v>96</v>
      </c>
      <c r="O965" t="s">
        <v>96</v>
      </c>
      <c r="P965" s="30">
        <v>5938.72</v>
      </c>
      <c r="Q965" s="30">
        <v>0</v>
      </c>
      <c r="R965" s="30"/>
      <c r="S965" s="30" t="e">
        <v>#N/A</v>
      </c>
      <c r="T965" t="s">
        <v>34</v>
      </c>
      <c r="U965" s="31">
        <v>0</v>
      </c>
      <c r="V965" t="s">
        <v>42</v>
      </c>
      <c r="Y965" t="e">
        <f>VLOOKUP(A965,[2]!PRGX[[#All],[Proveedor]],1,FALSE)</f>
        <v>#REF!</v>
      </c>
    </row>
    <row r="966" spans="1:26" x14ac:dyDescent="0.25">
      <c r="A966" s="25">
        <v>6256</v>
      </c>
      <c r="B966" s="25" t="s">
        <v>988</v>
      </c>
      <c r="C966" s="26">
        <v>1678</v>
      </c>
      <c r="D966" s="27">
        <v>17445922.920000002</v>
      </c>
      <c r="E966" s="27">
        <v>11814709.410000002</v>
      </c>
      <c r="F966" s="27">
        <v>5631213.5099999998</v>
      </c>
      <c r="G966" s="27">
        <f>VLOOKUP(A966,'[1]saldos al 26May26'!$C$2:$I$1010,7,FALSE)</f>
        <v>-1112281.6599999999</v>
      </c>
      <c r="H966" s="27"/>
      <c r="I966" s="28"/>
      <c r="J966" s="29">
        <v>70623.759999999995</v>
      </c>
      <c r="K966" s="25" t="s">
        <v>40</v>
      </c>
      <c r="L966" s="25" t="s">
        <v>30</v>
      </c>
      <c r="M966" s="25" t="s">
        <v>55</v>
      </c>
      <c r="N966" s="25" t="s">
        <v>51</v>
      </c>
      <c r="O966" t="s">
        <v>51</v>
      </c>
      <c r="P966" s="32">
        <v>-12015.55</v>
      </c>
      <c r="Q966" s="30">
        <v>0</v>
      </c>
      <c r="R966" s="30"/>
      <c r="S966" s="30" t="e">
        <v>#N/A</v>
      </c>
      <c r="T966" t="s">
        <v>34</v>
      </c>
      <c r="U966" s="31" t="e">
        <v>#N/A</v>
      </c>
      <c r="V966" t="s">
        <v>34</v>
      </c>
      <c r="Y966" t="e">
        <f>VLOOKUP(A966,[2]!PRGX[[#All],[Proveedor]],1,FALSE)</f>
        <v>#REF!</v>
      </c>
    </row>
    <row r="967" spans="1:26" x14ac:dyDescent="0.25">
      <c r="A967" s="25">
        <v>2121</v>
      </c>
      <c r="B967" s="25" t="s">
        <v>989</v>
      </c>
      <c r="C967" s="26">
        <v>1160</v>
      </c>
      <c r="D967" s="27">
        <v>16961692.210000001</v>
      </c>
      <c r="E967" s="27">
        <v>850907.19000000134</v>
      </c>
      <c r="F967" s="27">
        <v>16110785.02</v>
      </c>
      <c r="G967" s="27">
        <f>VLOOKUP(A967,'[1]saldos al 26May26'!$C$2:$I$1010,7,FALSE)</f>
        <v>935072.77</v>
      </c>
      <c r="H967" s="39" t="s">
        <v>54</v>
      </c>
      <c r="I967" s="28"/>
      <c r="J967" s="29">
        <v>299667.12149043201</v>
      </c>
      <c r="K967" s="25" t="s">
        <v>40</v>
      </c>
      <c r="L967" s="25" t="s">
        <v>30</v>
      </c>
      <c r="M967" s="36" t="s">
        <v>55</v>
      </c>
      <c r="N967" s="25" t="s">
        <v>80</v>
      </c>
      <c r="O967" t="s">
        <v>80</v>
      </c>
      <c r="Q967" s="30"/>
      <c r="R967" s="30"/>
      <c r="S967" s="30" t="e">
        <v>#N/A</v>
      </c>
      <c r="T967" t="s">
        <v>34</v>
      </c>
      <c r="U967" s="31" t="e">
        <v>#N/A</v>
      </c>
      <c r="V967" t="s">
        <v>34</v>
      </c>
      <c r="Y967" t="e">
        <f>VLOOKUP(A967,[2]!PRGX[[#All],[Proveedor]],1,FALSE)</f>
        <v>#REF!</v>
      </c>
    </row>
    <row r="968" spans="1:26" x14ac:dyDescent="0.25">
      <c r="A968" s="25">
        <v>396648</v>
      </c>
      <c r="B968" s="25" t="s">
        <v>990</v>
      </c>
      <c r="C968" s="26">
        <v>116</v>
      </c>
      <c r="D968" s="27">
        <v>16826350</v>
      </c>
      <c r="E968" s="27">
        <v>11188350</v>
      </c>
      <c r="F968" s="27">
        <v>5638000</v>
      </c>
      <c r="G968" s="27">
        <f>VLOOKUP(A968,'[1]saldos al 26May26'!$C$2:$I$1010,7,FALSE)</f>
        <v>11252.02</v>
      </c>
      <c r="H968" s="39" t="s">
        <v>54</v>
      </c>
      <c r="I968" s="28"/>
      <c r="J968" s="29">
        <v>456524.56718516862</v>
      </c>
      <c r="K968" s="25" t="s">
        <v>40</v>
      </c>
      <c r="L968" s="25" t="s">
        <v>30</v>
      </c>
      <c r="M968" s="36" t="s">
        <v>55</v>
      </c>
      <c r="N968" s="25" t="s">
        <v>36</v>
      </c>
      <c r="O968" t="s">
        <v>36</v>
      </c>
      <c r="P968" s="30">
        <v>0</v>
      </c>
      <c r="Q968" s="30">
        <v>0</v>
      </c>
      <c r="R968" s="30"/>
      <c r="S968" s="30" t="e">
        <v>#N/A</v>
      </c>
      <c r="T968" t="s">
        <v>34</v>
      </c>
      <c r="U968" s="31" t="e">
        <v>#N/A</v>
      </c>
      <c r="V968" t="s">
        <v>34</v>
      </c>
      <c r="W968" s="42"/>
      <c r="Y968" t="e">
        <f>VLOOKUP(A968,[2]!PRGX[[#All],[Proveedor]],1,FALSE)</f>
        <v>#REF!</v>
      </c>
    </row>
    <row r="969" spans="1:26" x14ac:dyDescent="0.25">
      <c r="A969" s="25">
        <v>487</v>
      </c>
      <c r="B969" s="25" t="s">
        <v>991</v>
      </c>
      <c r="C969" s="26">
        <v>5156</v>
      </c>
      <c r="D969" s="27">
        <v>16795190.460000001</v>
      </c>
      <c r="E969" s="27">
        <v>14287002.120000001</v>
      </c>
      <c r="F969" s="27">
        <v>2508188.34</v>
      </c>
      <c r="G969" s="27">
        <f>VLOOKUP(A969,'[1]saldos al 26May26'!$C$2:$I$1010,7,FALSE)</f>
        <v>-969232.57</v>
      </c>
      <c r="H969" s="27"/>
      <c r="I969" s="28"/>
      <c r="J969" s="29">
        <v>46239.086538707001</v>
      </c>
      <c r="K969" s="25" t="s">
        <v>40</v>
      </c>
      <c r="L969" s="25" t="s">
        <v>30</v>
      </c>
      <c r="M969" s="25" t="s">
        <v>55</v>
      </c>
      <c r="N969" s="25" t="s">
        <v>51</v>
      </c>
      <c r="O969" t="s">
        <v>51</v>
      </c>
      <c r="P969" s="32">
        <v>-2213.2800000000002</v>
      </c>
      <c r="Q969" s="30">
        <v>0</v>
      </c>
      <c r="R969" s="30"/>
      <c r="S969" s="30" t="e">
        <v>#N/A</v>
      </c>
      <c r="T969" t="s">
        <v>34</v>
      </c>
      <c r="U969" s="31">
        <v>0</v>
      </c>
      <c r="V969" t="s">
        <v>42</v>
      </c>
      <c r="Y969" t="e">
        <f>VLOOKUP(A969,[2]!PRGX[[#All],[Proveedor]],1,FALSE)</f>
        <v>#REF!</v>
      </c>
    </row>
    <row r="970" spans="1:26" x14ac:dyDescent="0.25">
      <c r="A970" s="52">
        <v>24085</v>
      </c>
      <c r="B970" s="52" t="s">
        <v>992</v>
      </c>
      <c r="C970" s="53">
        <v>396</v>
      </c>
      <c r="D970" s="54">
        <v>16778166</v>
      </c>
      <c r="E970" s="27">
        <v>12304650</v>
      </c>
      <c r="F970" s="27">
        <v>4473516</v>
      </c>
      <c r="G970" s="54">
        <f>VLOOKUP(A970,'[1]saldos al 26May26'!$C$2:$I$1010,7,FALSE)</f>
        <v>-1050958</v>
      </c>
      <c r="H970" s="54"/>
      <c r="I970" s="55"/>
      <c r="J970" s="56">
        <v>90401.692357291467</v>
      </c>
      <c r="K970" s="52" t="s">
        <v>40</v>
      </c>
      <c r="L970" s="52" t="s">
        <v>30</v>
      </c>
      <c r="M970" s="52" t="s">
        <v>55</v>
      </c>
      <c r="N970" s="52" t="s">
        <v>47</v>
      </c>
      <c r="O970" s="57" t="s">
        <v>47</v>
      </c>
      <c r="P970" s="58">
        <v>2770001.97</v>
      </c>
      <c r="Q970" s="58">
        <v>2774748</v>
      </c>
      <c r="R970" s="30"/>
      <c r="S970" s="30" t="e">
        <v>#N/A</v>
      </c>
      <c r="T970" s="57" t="s">
        <v>34</v>
      </c>
      <c r="U970" s="31" t="e">
        <v>#N/A</v>
      </c>
      <c r="V970" s="57" t="s">
        <v>34</v>
      </c>
      <c r="X970" t="s">
        <v>43</v>
      </c>
      <c r="Y970" t="e">
        <f>VLOOKUP(A970,[2]!PRGX[[#All],[Proveedor]],1,FALSE)</f>
        <v>#REF!</v>
      </c>
    </row>
    <row r="971" spans="1:26" x14ac:dyDescent="0.25">
      <c r="A971" s="36">
        <v>500657</v>
      </c>
      <c r="B971" s="36" t="s">
        <v>993</v>
      </c>
      <c r="C971" s="37">
        <v>2308</v>
      </c>
      <c r="D971" s="38">
        <v>16605893.380000001</v>
      </c>
      <c r="E971" s="38">
        <v>11029757.560000001</v>
      </c>
      <c r="F971" s="38">
        <v>5576135.8200000003</v>
      </c>
      <c r="G971" s="38" t="e">
        <f>VLOOKUP(A971,'[1]saldos al 26May26'!$C$2:$I$1010,7,FALSE)</f>
        <v>#N/A</v>
      </c>
      <c r="H971" s="39" t="s">
        <v>54</v>
      </c>
      <c r="I971" s="40" t="s">
        <v>27</v>
      </c>
      <c r="J971" s="41"/>
      <c r="K971" s="36" t="s">
        <v>29</v>
      </c>
      <c r="L971" s="36" t="s">
        <v>30</v>
      </c>
      <c r="M971" s="36" t="s">
        <v>55</v>
      </c>
      <c r="N971" s="25"/>
      <c r="O971" s="42" t="s">
        <v>67</v>
      </c>
      <c r="P971" s="30">
        <v>1759934.79</v>
      </c>
      <c r="Q971" s="30">
        <v>3592553.1799999997</v>
      </c>
      <c r="R971" s="30"/>
      <c r="S971" s="30">
        <v>0</v>
      </c>
      <c r="T971" t="s">
        <v>33</v>
      </c>
      <c r="U971" s="31" t="e">
        <v>#N/A</v>
      </c>
      <c r="V971" t="s">
        <v>34</v>
      </c>
      <c r="Y971" t="e">
        <f>VLOOKUP(A971,[2]!PRGX[[#All],[Proveedor]],1,FALSE)</f>
        <v>#REF!</v>
      </c>
      <c r="Z971">
        <v>500657</v>
      </c>
    </row>
    <row r="972" spans="1:26" x14ac:dyDescent="0.25">
      <c r="A972" s="25">
        <v>19271</v>
      </c>
      <c r="B972" s="25" t="s">
        <v>994</v>
      </c>
      <c r="C972" s="26">
        <v>1154</v>
      </c>
      <c r="D972" s="27">
        <v>16410595.800000001</v>
      </c>
      <c r="E972" s="27">
        <v>12431377.200000001</v>
      </c>
      <c r="F972" s="27">
        <v>3979218.6</v>
      </c>
      <c r="G972" s="27">
        <f>VLOOKUP(A972,'[1]saldos al 26May26'!$C$2:$I$1010,7,FALSE)</f>
        <v>-2836780.3</v>
      </c>
      <c r="H972" s="27"/>
      <c r="I972" s="28"/>
      <c r="J972" s="29">
        <v>70238.536046575478</v>
      </c>
      <c r="K972" s="25" t="s">
        <v>40</v>
      </c>
      <c r="L972" s="25" t="s">
        <v>30</v>
      </c>
      <c r="M972" s="25" t="s">
        <v>55</v>
      </c>
      <c r="N972" s="25" t="s">
        <v>32</v>
      </c>
      <c r="O972" t="s">
        <v>32</v>
      </c>
      <c r="P972" s="32">
        <v>-22543.21</v>
      </c>
      <c r="Q972" s="30">
        <v>0</v>
      </c>
      <c r="R972" s="30">
        <v>55857.83</v>
      </c>
      <c r="S972" s="30" t="e">
        <v>#N/A</v>
      </c>
      <c r="T972" t="s">
        <v>34</v>
      </c>
      <c r="U972" s="31" t="e">
        <v>#N/A</v>
      </c>
      <c r="V972" t="s">
        <v>34</v>
      </c>
      <c r="Y972" t="e">
        <f>VLOOKUP(A972,[2]!PRGX[[#All],[Proveedor]],1,FALSE)</f>
        <v>#REF!</v>
      </c>
    </row>
    <row r="973" spans="1:26" x14ac:dyDescent="0.25">
      <c r="A973" s="36">
        <v>500724</v>
      </c>
      <c r="B973" s="36" t="s">
        <v>995</v>
      </c>
      <c r="C973" s="37">
        <v>467</v>
      </c>
      <c r="D973" s="38">
        <v>16388809.32</v>
      </c>
      <c r="E973" s="38">
        <v>16295422.32</v>
      </c>
      <c r="F973" s="38">
        <v>93387</v>
      </c>
      <c r="G973" s="38" t="e">
        <f>VLOOKUP(A973,'[1]saldos al 26May26'!$C$2:$I$1010,7,FALSE)</f>
        <v>#N/A</v>
      </c>
      <c r="H973" s="39" t="s">
        <v>54</v>
      </c>
      <c r="I973" s="40" t="s">
        <v>27</v>
      </c>
      <c r="J973" s="41"/>
      <c r="K973" s="36" t="s">
        <v>29</v>
      </c>
      <c r="L973" s="36" t="s">
        <v>30</v>
      </c>
      <c r="M973" s="36" t="s">
        <v>55</v>
      </c>
      <c r="N973" s="25"/>
      <c r="O973" s="42" t="s">
        <v>70</v>
      </c>
      <c r="P973" s="32">
        <v>-10943558.689999999</v>
      </c>
      <c r="Q973" s="30">
        <v>3276610.02</v>
      </c>
      <c r="R973" s="30"/>
      <c r="S973" s="30" t="s">
        <v>33</v>
      </c>
      <c r="T973" t="s">
        <v>33</v>
      </c>
      <c r="U973" s="31" t="e">
        <v>#N/A</v>
      </c>
      <c r="V973" t="s">
        <v>34</v>
      </c>
      <c r="W973" s="42"/>
      <c r="Y973" t="e">
        <f>VLOOKUP(A973,[2]!PRGX[[#All],[Proveedor]],1,FALSE)</f>
        <v>#REF!</v>
      </c>
      <c r="Z973">
        <v>500724</v>
      </c>
    </row>
    <row r="974" spans="1:26" x14ac:dyDescent="0.25">
      <c r="A974" s="25">
        <v>24313</v>
      </c>
      <c r="B974" s="25" t="s">
        <v>996</v>
      </c>
      <c r="C974" s="26">
        <v>5373</v>
      </c>
      <c r="D974" s="27">
        <v>16374967.59</v>
      </c>
      <c r="E974" s="27">
        <v>9769428.5700000003</v>
      </c>
      <c r="F974" s="27">
        <v>6605539.0199999996</v>
      </c>
      <c r="G974" s="27">
        <f>VLOOKUP(A974,'[1]saldos al 26May26'!$C$2:$I$1010,7,FALSE)</f>
        <v>-1150607.48</v>
      </c>
      <c r="H974" s="27"/>
      <c r="I974" s="28"/>
      <c r="J974" s="29"/>
      <c r="K974" s="25" t="s">
        <v>29</v>
      </c>
      <c r="L974" s="25" t="s">
        <v>30</v>
      </c>
      <c r="M974" s="25" t="s">
        <v>31</v>
      </c>
      <c r="N974" s="25"/>
      <c r="O974" t="s">
        <v>96</v>
      </c>
      <c r="P974" s="32">
        <v>-3026.42</v>
      </c>
      <c r="Q974" s="30">
        <v>0</v>
      </c>
      <c r="R974" s="30">
        <v>24002.92</v>
      </c>
      <c r="S974" s="30">
        <v>0</v>
      </c>
      <c r="T974" t="s">
        <v>33</v>
      </c>
      <c r="U974" s="31" t="e">
        <v>#N/A</v>
      </c>
      <c r="V974" t="s">
        <v>34</v>
      </c>
      <c r="Y974" t="e">
        <f>VLOOKUP(A974,[2]!PRGX[[#All],[Proveedor]],1,FALSE)</f>
        <v>#REF!</v>
      </c>
    </row>
    <row r="975" spans="1:26" x14ac:dyDescent="0.25">
      <c r="A975" s="25">
        <v>326637</v>
      </c>
      <c r="B975" s="25" t="s">
        <v>997</v>
      </c>
      <c r="C975" s="26">
        <v>205</v>
      </c>
      <c r="D975" s="27">
        <v>16192111.41</v>
      </c>
      <c r="E975" s="27">
        <v>11884330.609999999</v>
      </c>
      <c r="F975" s="27">
        <v>4307780.8</v>
      </c>
      <c r="G975" s="27">
        <f>VLOOKUP(A975,'[1]saldos al 26May26'!$C$2:$I$1010,7,FALSE)</f>
        <v>0</v>
      </c>
      <c r="H975" s="39" t="s">
        <v>54</v>
      </c>
      <c r="I975" s="28"/>
      <c r="J975" s="29">
        <v>293221.72688970203</v>
      </c>
      <c r="K975" s="25" t="s">
        <v>40</v>
      </c>
      <c r="L975" s="25" t="s">
        <v>30</v>
      </c>
      <c r="M975" s="36" t="s">
        <v>55</v>
      </c>
      <c r="N975" s="25" t="s">
        <v>32</v>
      </c>
      <c r="O975" t="s">
        <v>32</v>
      </c>
      <c r="P975" s="32">
        <v>-2.15</v>
      </c>
      <c r="Q975" s="30">
        <v>0</v>
      </c>
      <c r="R975" s="30"/>
      <c r="S975" s="30" t="e">
        <v>#N/A</v>
      </c>
      <c r="T975" t="s">
        <v>34</v>
      </c>
      <c r="U975" s="31" t="e">
        <v>#N/A</v>
      </c>
      <c r="V975" t="s">
        <v>34</v>
      </c>
      <c r="Y975" t="e">
        <f>VLOOKUP(A975,[2]!PRGX[[#All],[Proveedor]],1,FALSE)</f>
        <v>#REF!</v>
      </c>
    </row>
    <row r="976" spans="1:26" x14ac:dyDescent="0.25">
      <c r="A976" s="25">
        <v>332114</v>
      </c>
      <c r="B976" s="25" t="s">
        <v>998</v>
      </c>
      <c r="C976" s="26">
        <v>1278</v>
      </c>
      <c r="D976" s="27">
        <v>16169251.65</v>
      </c>
      <c r="E976" s="27">
        <v>15278854.690000001</v>
      </c>
      <c r="F976" s="27">
        <v>890396.96</v>
      </c>
      <c r="G976" s="27">
        <f>VLOOKUP(A976,'[1]saldos al 26May26'!$C$2:$I$1010,7,FALSE)</f>
        <v>-117470.18</v>
      </c>
      <c r="H976" s="27"/>
      <c r="I976" s="28"/>
      <c r="J976" s="29">
        <v>351338.67665505753</v>
      </c>
      <c r="K976" s="25" t="s">
        <v>40</v>
      </c>
      <c r="L976" s="25" t="s">
        <v>30</v>
      </c>
      <c r="M976" s="25" t="s">
        <v>31</v>
      </c>
      <c r="N976" s="25" t="s">
        <v>36</v>
      </c>
      <c r="O976" t="s">
        <v>36</v>
      </c>
      <c r="P976" s="32">
        <v>-67922.64</v>
      </c>
      <c r="Q976" s="30">
        <v>0</v>
      </c>
      <c r="R976" s="30"/>
      <c r="S976" s="30" t="e">
        <v>#N/A</v>
      </c>
      <c r="T976" t="s">
        <v>34</v>
      </c>
      <c r="U976" s="31" t="e">
        <v>#N/A</v>
      </c>
      <c r="V976" t="s">
        <v>34</v>
      </c>
      <c r="Y976" t="e">
        <f>VLOOKUP(A976,[2]!PRGX[[#All],[Proveedor]],1,FALSE)</f>
        <v>#REF!</v>
      </c>
    </row>
    <row r="977" spans="1:26" x14ac:dyDescent="0.25">
      <c r="A977" s="25">
        <v>24923</v>
      </c>
      <c r="B977" s="25" t="s">
        <v>999</v>
      </c>
      <c r="C977" s="26">
        <v>2715</v>
      </c>
      <c r="D977" s="27">
        <v>16024521.960000001</v>
      </c>
      <c r="E977" s="27">
        <v>8429953.5600000005</v>
      </c>
      <c r="F977" s="27">
        <v>7594568.4000000004</v>
      </c>
      <c r="G977" s="27">
        <f>VLOOKUP(A977,'[1]saldos al 26May26'!$C$2:$I$1010,7,FALSE)</f>
        <v>-745982.46</v>
      </c>
      <c r="H977" s="27"/>
      <c r="I977" s="28"/>
      <c r="J977" s="29">
        <v>33166.930279289991</v>
      </c>
      <c r="K977" s="25" t="s">
        <v>40</v>
      </c>
      <c r="L977" s="25" t="s">
        <v>30</v>
      </c>
      <c r="M977" s="25" t="s">
        <v>31</v>
      </c>
      <c r="N977" s="25" t="s">
        <v>45</v>
      </c>
      <c r="O977" t="s">
        <v>45</v>
      </c>
      <c r="P977" s="32">
        <v>-698107.56</v>
      </c>
      <c r="Q977" s="30">
        <v>0</v>
      </c>
      <c r="R977" s="30"/>
      <c r="S977" s="30" t="e">
        <v>#N/A</v>
      </c>
      <c r="T977" t="s">
        <v>34</v>
      </c>
      <c r="U977" s="31" t="e">
        <v>#N/A</v>
      </c>
      <c r="V977" t="s">
        <v>34</v>
      </c>
      <c r="Y977" t="e">
        <f>VLOOKUP(A977,[2]!PRGX[[#All],[Proveedor]],1,FALSE)</f>
        <v>#REF!</v>
      </c>
    </row>
    <row r="978" spans="1:26" x14ac:dyDescent="0.25">
      <c r="A978" s="25">
        <v>22843</v>
      </c>
      <c r="B978" s="25" t="s">
        <v>1000</v>
      </c>
      <c r="C978" s="26">
        <v>13763</v>
      </c>
      <c r="D978" s="27">
        <v>16012917.210000001</v>
      </c>
      <c r="E978" s="27">
        <v>14486002.890000001</v>
      </c>
      <c r="F978" s="27">
        <v>1526914.32</v>
      </c>
      <c r="G978" s="27">
        <f>VLOOKUP(A978,'[1]saldos al 26May26'!$C$2:$I$1010,7,FALSE)</f>
        <v>-91421.74</v>
      </c>
      <c r="H978" s="27"/>
      <c r="I978" s="28"/>
      <c r="J978" s="29">
        <v>81830.120142415501</v>
      </c>
      <c r="K978" s="25" t="s">
        <v>40</v>
      </c>
      <c r="L978" s="25" t="s">
        <v>30</v>
      </c>
      <c r="M978" s="25" t="s">
        <v>55</v>
      </c>
      <c r="N978" s="25" t="s">
        <v>96</v>
      </c>
      <c r="O978" t="s">
        <v>96</v>
      </c>
      <c r="P978" s="32">
        <v>-334611.73</v>
      </c>
      <c r="Q978" s="30">
        <v>0</v>
      </c>
      <c r="R978" s="30">
        <v>38194.9</v>
      </c>
      <c r="S978" s="30" t="e">
        <v>#N/A</v>
      </c>
      <c r="T978" t="s">
        <v>34</v>
      </c>
      <c r="U978" s="31" t="e">
        <v>#N/A</v>
      </c>
      <c r="V978" t="s">
        <v>34</v>
      </c>
      <c r="Y978" t="e">
        <f>VLOOKUP(A978,[2]!PRGX[[#All],[Proveedor]],1,FALSE)</f>
        <v>#REF!</v>
      </c>
    </row>
    <row r="979" spans="1:26" s="42" customFormat="1" x14ac:dyDescent="0.25">
      <c r="A979" s="25">
        <v>90647</v>
      </c>
      <c r="B979" s="25" t="s">
        <v>1001</v>
      </c>
      <c r="C979" s="26">
        <v>247</v>
      </c>
      <c r="D979" s="27">
        <v>15837172.5</v>
      </c>
      <c r="E979" s="27">
        <v>12542791</v>
      </c>
      <c r="F979" s="27">
        <v>3294381.5</v>
      </c>
      <c r="G979" s="27">
        <f>VLOOKUP(A979,'[1]saldos al 26May26'!$C$2:$I$1010,7,FALSE)</f>
        <v>-1092745.25</v>
      </c>
      <c r="H979" s="27"/>
      <c r="I979" s="28"/>
      <c r="J979" s="29">
        <v>714437.36946781352</v>
      </c>
      <c r="K979" s="25" t="s">
        <v>40</v>
      </c>
      <c r="L979" s="25" t="s">
        <v>30</v>
      </c>
      <c r="M979" s="25" t="s">
        <v>50</v>
      </c>
      <c r="N979" s="25" t="s">
        <v>36</v>
      </c>
      <c r="O979" t="s">
        <v>36</v>
      </c>
      <c r="P979" s="30">
        <v>0</v>
      </c>
      <c r="Q979" s="30">
        <v>0</v>
      </c>
      <c r="R979" s="30">
        <v>123860</v>
      </c>
      <c r="S979" s="30" t="s">
        <v>63</v>
      </c>
      <c r="T979" t="s">
        <v>33</v>
      </c>
      <c r="U979" s="31" t="s">
        <v>33</v>
      </c>
      <c r="V979" t="s">
        <v>33</v>
      </c>
      <c r="W979"/>
      <c r="Y979" t="e">
        <f>VLOOKUP(A979,[2]!PRGX[[#All],[Proveedor]],1,FALSE)</f>
        <v>#REF!</v>
      </c>
      <c r="Z979"/>
    </row>
    <row r="980" spans="1:26" x14ac:dyDescent="0.25">
      <c r="A980" s="25">
        <v>21262</v>
      </c>
      <c r="B980" s="25" t="s">
        <v>1002</v>
      </c>
      <c r="C980" s="26">
        <v>1147</v>
      </c>
      <c r="D980" s="27">
        <v>15635561.52</v>
      </c>
      <c r="E980" s="27">
        <v>11744178.129999999</v>
      </c>
      <c r="F980" s="27">
        <v>3891383.39</v>
      </c>
      <c r="G980" s="27">
        <f>VLOOKUP(A980,'[1]saldos al 26May26'!$C$2:$I$1010,7,FALSE)</f>
        <v>-449121.14</v>
      </c>
      <c r="H980" s="27"/>
      <c r="I980" s="28"/>
      <c r="J980" s="29">
        <v>212886.46570505999</v>
      </c>
      <c r="K980" s="25" t="s">
        <v>40</v>
      </c>
      <c r="L980" s="25" t="s">
        <v>30</v>
      </c>
      <c r="M980" s="25" t="s">
        <v>31</v>
      </c>
      <c r="N980" s="25" t="s">
        <v>38</v>
      </c>
      <c r="O980" t="s">
        <v>38</v>
      </c>
      <c r="P980" s="30">
        <v>43229.64</v>
      </c>
      <c r="Q980" s="30">
        <v>0</v>
      </c>
      <c r="R980" s="30"/>
      <c r="S980" s="30" t="s">
        <v>63</v>
      </c>
      <c r="T980" s="57" t="s">
        <v>33</v>
      </c>
      <c r="U980" s="31" t="s">
        <v>33</v>
      </c>
      <c r="V980" t="s">
        <v>33</v>
      </c>
      <c r="Y980" t="e">
        <f>VLOOKUP(A980,[2]!PRGX[[#All],[Proveedor]],1,FALSE)</f>
        <v>#REF!</v>
      </c>
    </row>
    <row r="981" spans="1:26" x14ac:dyDescent="0.25">
      <c r="A981" s="25">
        <v>394767</v>
      </c>
      <c r="B981" s="25" t="s">
        <v>1003</v>
      </c>
      <c r="C981" s="26">
        <v>112</v>
      </c>
      <c r="D981" s="27">
        <v>15588004.91</v>
      </c>
      <c r="E981" s="27">
        <v>14070446.16</v>
      </c>
      <c r="F981" s="27">
        <v>1517558.75</v>
      </c>
      <c r="G981" s="27">
        <f>VLOOKUP(A981,'[1]saldos al 26May26'!$C$2:$I$1010,7,FALSE)</f>
        <v>-216247.12</v>
      </c>
      <c r="H981" s="27"/>
      <c r="I981" s="28"/>
      <c r="J981" s="29">
        <v>116338.36132129258</v>
      </c>
      <c r="K981" s="25" t="s">
        <v>40</v>
      </c>
      <c r="L981" s="25" t="s">
        <v>30</v>
      </c>
      <c r="M981" s="25" t="s">
        <v>55</v>
      </c>
      <c r="N981" s="25" t="s">
        <v>87</v>
      </c>
      <c r="O981" t="s">
        <v>87</v>
      </c>
      <c r="P981" s="32">
        <v>-1874.3799999999999</v>
      </c>
      <c r="Q981" s="30">
        <v>0</v>
      </c>
      <c r="R981" s="30"/>
      <c r="S981" s="30" t="e">
        <v>#N/A</v>
      </c>
      <c r="T981" t="s">
        <v>34</v>
      </c>
      <c r="U981" s="31" t="e">
        <v>#N/A</v>
      </c>
      <c r="V981" t="s">
        <v>34</v>
      </c>
      <c r="Y981" t="e">
        <f>VLOOKUP(A981,[2]!PRGX[[#All],[Proveedor]],1,FALSE)</f>
        <v>#REF!</v>
      </c>
    </row>
    <row r="982" spans="1:26" x14ac:dyDescent="0.25">
      <c r="A982" s="25">
        <v>10822</v>
      </c>
      <c r="B982" s="25" t="s">
        <v>1004</v>
      </c>
      <c r="C982" s="26">
        <v>2879</v>
      </c>
      <c r="D982" s="27">
        <v>15380681.869999999</v>
      </c>
      <c r="E982" s="27">
        <v>13263641.25</v>
      </c>
      <c r="F982" s="27">
        <v>2117040.62</v>
      </c>
      <c r="G982" s="27">
        <f>VLOOKUP(A982,'[1]saldos al 26May26'!$C$2:$I$1010,7,FALSE)</f>
        <v>-821840.78</v>
      </c>
      <c r="H982" s="27"/>
      <c r="I982" s="28"/>
      <c r="J982" s="29">
        <v>111377.0769484365</v>
      </c>
      <c r="K982" s="25" t="s">
        <v>40</v>
      </c>
      <c r="L982" s="25" t="s">
        <v>30</v>
      </c>
      <c r="M982" s="25" t="s">
        <v>55</v>
      </c>
      <c r="N982" s="25" t="s">
        <v>70</v>
      </c>
      <c r="O982" t="s">
        <v>70</v>
      </c>
      <c r="P982" s="32">
        <v>-96.92</v>
      </c>
      <c r="Q982" s="30">
        <v>0</v>
      </c>
      <c r="R982" s="30"/>
      <c r="S982" s="30" t="s">
        <v>63</v>
      </c>
      <c r="T982" s="57" t="s">
        <v>33</v>
      </c>
      <c r="U982" s="31" t="s">
        <v>33</v>
      </c>
      <c r="V982" t="s">
        <v>33</v>
      </c>
      <c r="Y982" t="e">
        <f>VLOOKUP(A982,[2]!PRGX[[#All],[Proveedor]],1,FALSE)</f>
        <v>#REF!</v>
      </c>
    </row>
    <row r="983" spans="1:26" x14ac:dyDescent="0.25">
      <c r="A983" s="36">
        <v>500987</v>
      </c>
      <c r="B983" s="36" t="s">
        <v>1005</v>
      </c>
      <c r="C983" s="37">
        <v>1000</v>
      </c>
      <c r="D983" s="38">
        <v>15204012.76</v>
      </c>
      <c r="E983" s="38">
        <v>9630559.8999999985</v>
      </c>
      <c r="F983" s="38">
        <v>5573452.8600000003</v>
      </c>
      <c r="G983" s="38" t="e">
        <f>VLOOKUP(A983,'[1]saldos al 26May26'!$C$2:$I$1010,7,FALSE)</f>
        <v>#N/A</v>
      </c>
      <c r="H983" s="39" t="s">
        <v>54</v>
      </c>
      <c r="I983" s="40" t="s">
        <v>27</v>
      </c>
      <c r="J983" s="41"/>
      <c r="K983" s="36" t="s">
        <v>29</v>
      </c>
      <c r="L983" s="36" t="s">
        <v>30</v>
      </c>
      <c r="M983" s="36" t="s">
        <v>55</v>
      </c>
      <c r="N983" s="25"/>
      <c r="O983" s="42" t="s">
        <v>87</v>
      </c>
      <c r="P983" s="30">
        <v>267858.84000000003</v>
      </c>
      <c r="Q983" s="30">
        <v>0</v>
      </c>
      <c r="R983" s="30"/>
      <c r="S983" s="30">
        <v>0</v>
      </c>
      <c r="T983" t="s">
        <v>33</v>
      </c>
      <c r="U983" s="31" t="e">
        <v>#N/A</v>
      </c>
      <c r="V983" t="s">
        <v>34</v>
      </c>
      <c r="Y983" t="e">
        <f>VLOOKUP(A983,[2]!PRGX[[#All],[Proveedor]],1,FALSE)</f>
        <v>#REF!</v>
      </c>
      <c r="Z983">
        <v>500987</v>
      </c>
    </row>
    <row r="984" spans="1:26" x14ac:dyDescent="0.25">
      <c r="A984" s="25">
        <v>23833</v>
      </c>
      <c r="B984" s="25" t="s">
        <v>978</v>
      </c>
      <c r="C984" s="26">
        <v>615</v>
      </c>
      <c r="D984" s="27">
        <v>14570622</v>
      </c>
      <c r="E984" s="27">
        <v>3011698</v>
      </c>
      <c r="F984" s="27">
        <v>11558924</v>
      </c>
      <c r="G984" s="27">
        <f>VLOOKUP(A984,'[1]saldos al 26May26'!$C$2:$I$1010,7,FALSE)</f>
        <v>-536362.86</v>
      </c>
      <c r="H984" s="27"/>
      <c r="I984" s="28"/>
      <c r="J984" s="29">
        <v>36917.054032009997</v>
      </c>
      <c r="K984" s="25" t="s">
        <v>40</v>
      </c>
      <c r="L984" s="25" t="s">
        <v>30</v>
      </c>
      <c r="M984" s="25" t="s">
        <v>55</v>
      </c>
      <c r="N984" s="25" t="s">
        <v>36</v>
      </c>
      <c r="O984" t="s">
        <v>36</v>
      </c>
      <c r="P984" s="32">
        <v>-155789.16</v>
      </c>
      <c r="Q984" s="30">
        <v>0</v>
      </c>
      <c r="R984" s="30"/>
      <c r="S984" s="30" t="s">
        <v>63</v>
      </c>
      <c r="T984" s="57" t="s">
        <v>33</v>
      </c>
      <c r="U984" s="31" t="s">
        <v>33</v>
      </c>
      <c r="V984" t="s">
        <v>33</v>
      </c>
      <c r="Y984" t="e">
        <f>VLOOKUP(A984,[2]!PRGX[[#All],[Proveedor]],1,FALSE)</f>
        <v>#REF!</v>
      </c>
    </row>
    <row r="985" spans="1:26" x14ac:dyDescent="0.25">
      <c r="A985" s="52">
        <v>24568</v>
      </c>
      <c r="B985" s="52" t="s">
        <v>1006</v>
      </c>
      <c r="C985" s="53">
        <v>1361</v>
      </c>
      <c r="D985" s="54">
        <v>14563754.029999999</v>
      </c>
      <c r="E985" s="27">
        <v>9965559.9699999988</v>
      </c>
      <c r="F985" s="27">
        <v>4598194.0599999996</v>
      </c>
      <c r="G985" s="54">
        <f>VLOOKUP(A985,'[1]saldos al 26May26'!$C$2:$I$1010,7,FALSE)</f>
        <v>-1195911.74</v>
      </c>
      <c r="H985" s="54"/>
      <c r="I985" s="55"/>
      <c r="J985" s="56">
        <v>495256.52126314654</v>
      </c>
      <c r="K985" s="52" t="s">
        <v>40</v>
      </c>
      <c r="L985" s="52" t="s">
        <v>30</v>
      </c>
      <c r="M985" s="52" t="s">
        <v>50</v>
      </c>
      <c r="N985" s="52" t="s">
        <v>51</v>
      </c>
      <c r="O985" s="57" t="s">
        <v>51</v>
      </c>
      <c r="P985" s="59">
        <v>-207085.63</v>
      </c>
      <c r="Q985" s="58">
        <v>0</v>
      </c>
      <c r="R985" s="30">
        <v>278796</v>
      </c>
      <c r="S985" s="30" t="e">
        <v>#N/A</v>
      </c>
      <c r="T985" s="57" t="s">
        <v>34</v>
      </c>
      <c r="U985" s="31" t="e">
        <v>#N/A</v>
      </c>
      <c r="V985" s="57" t="s">
        <v>34</v>
      </c>
      <c r="X985" t="s">
        <v>43</v>
      </c>
      <c r="Y985" t="e">
        <f>VLOOKUP(A985,[2]!PRGX[[#All],[Proveedor]],1,FALSE)</f>
        <v>#REF!</v>
      </c>
    </row>
    <row r="986" spans="1:26" x14ac:dyDescent="0.25">
      <c r="A986" s="25">
        <v>396481</v>
      </c>
      <c r="B986" s="25" t="s">
        <v>1007</v>
      </c>
      <c r="C986" s="26">
        <v>3932</v>
      </c>
      <c r="D986" s="27">
        <v>14514430.99</v>
      </c>
      <c r="E986" s="27">
        <v>13396551.790000001</v>
      </c>
      <c r="F986" s="27">
        <v>1117879.2</v>
      </c>
      <c r="G986" s="27">
        <f>VLOOKUP(A986,'[1]saldos al 26May26'!$C$2:$I$1010,7,FALSE)</f>
        <v>-2457855.7999999998</v>
      </c>
      <c r="H986" s="27"/>
      <c r="I986" s="28"/>
      <c r="J986" s="29">
        <v>31598.660312712498</v>
      </c>
      <c r="K986" s="25" t="s">
        <v>40</v>
      </c>
      <c r="L986" s="25" t="s">
        <v>30</v>
      </c>
      <c r="M986" s="25" t="s">
        <v>55</v>
      </c>
      <c r="N986" s="25" t="s">
        <v>87</v>
      </c>
      <c r="O986" t="s">
        <v>87</v>
      </c>
      <c r="P986" s="32">
        <v>-159066.41999999998</v>
      </c>
      <c r="Q986" s="30">
        <v>0</v>
      </c>
      <c r="R986" s="30"/>
      <c r="S986" s="30" t="e">
        <v>#N/A</v>
      </c>
      <c r="T986" t="s">
        <v>34</v>
      </c>
      <c r="U986" s="31" t="e">
        <v>#N/A</v>
      </c>
      <c r="V986" t="s">
        <v>34</v>
      </c>
      <c r="Y986" t="e">
        <f>VLOOKUP(A986,[2]!PRGX[[#All],[Proveedor]],1,FALSE)</f>
        <v>#REF!</v>
      </c>
    </row>
    <row r="987" spans="1:26" x14ac:dyDescent="0.25">
      <c r="A987" s="36">
        <v>68494</v>
      </c>
      <c r="B987" s="36" t="s">
        <v>1008</v>
      </c>
      <c r="C987" s="37">
        <v>708</v>
      </c>
      <c r="D987" s="38">
        <v>14481440.92</v>
      </c>
      <c r="E987" s="38">
        <v>14420316.880000001</v>
      </c>
      <c r="F987" s="38">
        <v>61124.04</v>
      </c>
      <c r="G987" s="38" t="e">
        <f>VLOOKUP(A987,'[1]saldos al 26May26'!$C$2:$I$1010,7,FALSE)</f>
        <v>#N/A</v>
      </c>
      <c r="H987" s="39" t="s">
        <v>54</v>
      </c>
      <c r="I987" s="40"/>
      <c r="J987" s="41">
        <v>328193.78759999998</v>
      </c>
      <c r="K987" s="36" t="s">
        <v>40</v>
      </c>
      <c r="L987" s="36" t="s">
        <v>30</v>
      </c>
      <c r="M987" s="36" t="s">
        <v>55</v>
      </c>
      <c r="N987" s="25" t="s">
        <v>51</v>
      </c>
      <c r="O987" s="42" t="s">
        <v>51</v>
      </c>
      <c r="P987" s="30">
        <v>0</v>
      </c>
      <c r="Q987" s="30">
        <v>19244.18</v>
      </c>
      <c r="R987" s="30"/>
      <c r="S987" s="30" t="e">
        <v>#N/A</v>
      </c>
      <c r="T987" t="s">
        <v>34</v>
      </c>
      <c r="U987" s="31" t="e">
        <v>#N/A</v>
      </c>
      <c r="V987" t="s">
        <v>34</v>
      </c>
      <c r="Y987" t="e">
        <f>VLOOKUP(A987,[2]!PRGX[[#All],[Proveedor]],1,FALSE)</f>
        <v>#REF!</v>
      </c>
    </row>
    <row r="988" spans="1:26" x14ac:dyDescent="0.25">
      <c r="A988" s="25">
        <v>326421</v>
      </c>
      <c r="B988" s="25" t="s">
        <v>1009</v>
      </c>
      <c r="C988" s="26">
        <v>28830</v>
      </c>
      <c r="D988" s="27">
        <v>14463864.199999999</v>
      </c>
      <c r="E988" s="27">
        <v>11693702.6</v>
      </c>
      <c r="F988" s="27">
        <v>2770161.6</v>
      </c>
      <c r="G988" s="27">
        <f>VLOOKUP(A988,'[1]saldos al 26May26'!$C$2:$I$1010,7,FALSE)</f>
        <v>-228189.2</v>
      </c>
      <c r="H988" s="27"/>
      <c r="I988" s="28"/>
      <c r="J988" s="29"/>
      <c r="K988" s="25" t="s">
        <v>29</v>
      </c>
      <c r="L988" s="25" t="s">
        <v>30</v>
      </c>
      <c r="M988" s="25" t="s">
        <v>55</v>
      </c>
      <c r="N988" s="25"/>
      <c r="O988" t="s">
        <v>32</v>
      </c>
      <c r="P988" s="32">
        <v>-34400.28</v>
      </c>
      <c r="Q988" s="30">
        <v>5105.0200000000004</v>
      </c>
      <c r="R988" s="30"/>
      <c r="S988" s="30" t="s">
        <v>33</v>
      </c>
      <c r="T988" t="s">
        <v>33</v>
      </c>
      <c r="U988" s="31" t="e">
        <v>#N/A</v>
      </c>
      <c r="V988" t="s">
        <v>34</v>
      </c>
      <c r="Y988" t="e">
        <f>VLOOKUP(A988,[2]!PRGX[[#All],[Proveedor]],1,FALSE)</f>
        <v>#REF!</v>
      </c>
    </row>
    <row r="989" spans="1:26" x14ac:dyDescent="0.25">
      <c r="A989" s="25">
        <v>71886</v>
      </c>
      <c r="B989" s="25" t="s">
        <v>1010</v>
      </c>
      <c r="C989" s="26">
        <v>940</v>
      </c>
      <c r="D989" s="27">
        <v>14293202.380000001</v>
      </c>
      <c r="E989" s="27">
        <v>13081578.860000001</v>
      </c>
      <c r="F989" s="27">
        <v>1211623.52</v>
      </c>
      <c r="G989" s="27">
        <f>VLOOKUP(A989,'[1]saldos al 26May26'!$C$2:$I$1010,7,FALSE)</f>
        <v>-299634.74</v>
      </c>
      <c r="H989" s="27"/>
      <c r="I989" s="28"/>
      <c r="J989" s="29">
        <v>199152.68314713397</v>
      </c>
      <c r="K989" s="25" t="s">
        <v>40</v>
      </c>
      <c r="L989" s="25" t="s">
        <v>30</v>
      </c>
      <c r="M989" s="25" t="s">
        <v>31</v>
      </c>
      <c r="N989" s="25" t="s">
        <v>87</v>
      </c>
      <c r="O989" t="s">
        <v>87</v>
      </c>
      <c r="P989" s="32">
        <v>-194319.09</v>
      </c>
      <c r="Q989" s="30">
        <v>0</v>
      </c>
      <c r="R989" s="30"/>
      <c r="S989" s="30" t="e">
        <v>#N/A</v>
      </c>
      <c r="T989" t="s">
        <v>34</v>
      </c>
      <c r="U989" s="31" t="e">
        <v>#N/A</v>
      </c>
      <c r="V989" t="s">
        <v>34</v>
      </c>
      <c r="Y989" t="e">
        <f>VLOOKUP(A989,[2]!PRGX[[#All],[Proveedor]],1,FALSE)</f>
        <v>#REF!</v>
      </c>
    </row>
    <row r="990" spans="1:26" x14ac:dyDescent="0.25">
      <c r="A990" s="36">
        <v>501046</v>
      </c>
      <c r="B990" s="36" t="s">
        <v>1011</v>
      </c>
      <c r="C990" s="37">
        <v>724</v>
      </c>
      <c r="D990" s="38">
        <v>14264112.609999999</v>
      </c>
      <c r="E990" s="38">
        <v>6352792.4299999997</v>
      </c>
      <c r="F990" s="38">
        <v>7911320.1799999997</v>
      </c>
      <c r="G990" s="38" t="e">
        <f>VLOOKUP(A990,'[1]saldos al 26May26'!$C$2:$I$1010,7,FALSE)</f>
        <v>#N/A</v>
      </c>
      <c r="H990" s="39" t="s">
        <v>54</v>
      </c>
      <c r="I990" s="40" t="s">
        <v>27</v>
      </c>
      <c r="J990" s="41"/>
      <c r="K990" s="36" t="s">
        <v>29</v>
      </c>
      <c r="L990" s="36" t="s">
        <v>30</v>
      </c>
      <c r="M990" s="36" t="s">
        <v>55</v>
      </c>
      <c r="N990" s="25"/>
      <c r="O990" s="42" t="s">
        <v>45</v>
      </c>
      <c r="P990" s="30">
        <v>0</v>
      </c>
      <c r="Q990" s="30">
        <v>0</v>
      </c>
      <c r="R990" s="30"/>
      <c r="S990" s="30">
        <v>0</v>
      </c>
      <c r="T990" t="s">
        <v>33</v>
      </c>
      <c r="U990" s="31" t="e">
        <v>#N/A</v>
      </c>
      <c r="V990" t="s">
        <v>34</v>
      </c>
      <c r="Y990" t="e">
        <f>VLOOKUP(A990,[2]!PRGX[[#All],[Proveedor]],1,FALSE)</f>
        <v>#REF!</v>
      </c>
      <c r="Z990">
        <v>501046</v>
      </c>
    </row>
    <row r="991" spans="1:26" x14ac:dyDescent="0.25">
      <c r="A991" s="25">
        <v>6828</v>
      </c>
      <c r="B991" s="25" t="s">
        <v>1012</v>
      </c>
      <c r="C991" s="26">
        <v>4410</v>
      </c>
      <c r="D991" s="27">
        <v>14016475.65</v>
      </c>
      <c r="E991" s="27">
        <v>10717132.210000001</v>
      </c>
      <c r="F991" s="27">
        <v>3299343.44</v>
      </c>
      <c r="G991" s="27">
        <f>VLOOKUP(A991,'[1]saldos al 26May26'!$C$2:$I$1010,7,FALSE)</f>
        <v>-541929.84</v>
      </c>
      <c r="H991" s="27"/>
      <c r="I991" s="28"/>
      <c r="J991" s="29">
        <v>295468.57934278698</v>
      </c>
      <c r="K991" s="25" t="s">
        <v>40</v>
      </c>
      <c r="L991" s="25" t="s">
        <v>30</v>
      </c>
      <c r="M991" s="25" t="s">
        <v>31</v>
      </c>
      <c r="N991" s="25" t="s">
        <v>38</v>
      </c>
      <c r="O991" t="s">
        <v>38</v>
      </c>
      <c r="P991" s="32">
        <v>-198648.89</v>
      </c>
      <c r="Q991" s="30">
        <v>0</v>
      </c>
      <c r="R991" s="30"/>
      <c r="S991" s="30" t="s">
        <v>63</v>
      </c>
      <c r="T991" s="57" t="s">
        <v>33</v>
      </c>
      <c r="U991" s="31" t="s">
        <v>33</v>
      </c>
      <c r="V991" t="s">
        <v>33</v>
      </c>
      <c r="Y991" t="e">
        <f>VLOOKUP(A991,[2]!PRGX[[#All],[Proveedor]],1,FALSE)</f>
        <v>#REF!</v>
      </c>
    </row>
    <row r="992" spans="1:26" x14ac:dyDescent="0.25">
      <c r="A992" s="25">
        <v>24615</v>
      </c>
      <c r="B992" s="25" t="s">
        <v>1013</v>
      </c>
      <c r="C992" s="26">
        <v>168</v>
      </c>
      <c r="D992" s="27">
        <v>13831841.5</v>
      </c>
      <c r="E992" s="27">
        <v>9622577.5</v>
      </c>
      <c r="F992" s="27">
        <v>4209264</v>
      </c>
      <c r="G992" s="27">
        <f>VLOOKUP(A992,'[1]saldos al 26May26'!$C$2:$I$1010,7,FALSE)</f>
        <v>-4450458.2</v>
      </c>
      <c r="H992" s="27"/>
      <c r="I992" s="28"/>
      <c r="J992" s="29">
        <v>59682.99336963299</v>
      </c>
      <c r="K992" s="25" t="s">
        <v>40</v>
      </c>
      <c r="L992" s="25" t="s">
        <v>30</v>
      </c>
      <c r="M992" s="25" t="s">
        <v>55</v>
      </c>
      <c r="N992" s="25" t="s">
        <v>36</v>
      </c>
      <c r="O992" t="s">
        <v>36</v>
      </c>
      <c r="P992" s="30">
        <v>0</v>
      </c>
      <c r="Q992" s="30">
        <v>0</v>
      </c>
      <c r="R992" s="30"/>
      <c r="S992" s="30" t="s">
        <v>63</v>
      </c>
      <c r="T992" s="57" t="s">
        <v>33</v>
      </c>
      <c r="U992" s="31" t="s">
        <v>33</v>
      </c>
      <c r="V992" t="s">
        <v>33</v>
      </c>
      <c r="Y992" t="e">
        <f>VLOOKUP(A992,[2]!PRGX[[#All],[Proveedor]],1,FALSE)</f>
        <v>#REF!</v>
      </c>
    </row>
    <row r="993" spans="1:26" x14ac:dyDescent="0.25">
      <c r="A993" s="25">
        <v>374645</v>
      </c>
      <c r="B993" s="25" t="s">
        <v>1014</v>
      </c>
      <c r="C993" s="26">
        <v>2110</v>
      </c>
      <c r="D993" s="27">
        <v>13831249.140000001</v>
      </c>
      <c r="E993" s="27">
        <v>12571379.450000001</v>
      </c>
      <c r="F993" s="27">
        <v>1259869.69</v>
      </c>
      <c r="G993" s="27">
        <f>VLOOKUP(A993,'[1]saldos al 26May26'!$C$2:$I$1010,7,FALSE)</f>
        <v>-749123.69</v>
      </c>
      <c r="H993" s="27"/>
      <c r="I993" s="28"/>
      <c r="J993" s="29">
        <v>97277.995511093017</v>
      </c>
      <c r="K993" s="25" t="s">
        <v>40</v>
      </c>
      <c r="L993" s="25" t="s">
        <v>30</v>
      </c>
      <c r="M993" s="25" t="s">
        <v>55</v>
      </c>
      <c r="N993" s="25" t="s">
        <v>32</v>
      </c>
      <c r="O993" t="s">
        <v>32</v>
      </c>
      <c r="P993" s="32">
        <v>-164158.59</v>
      </c>
      <c r="Q993" s="30">
        <v>0</v>
      </c>
      <c r="R993" s="30"/>
      <c r="S993" s="30" t="e">
        <v>#N/A</v>
      </c>
      <c r="T993" t="s">
        <v>34</v>
      </c>
      <c r="U993" s="31" t="e">
        <v>#N/A</v>
      </c>
      <c r="V993" t="s">
        <v>34</v>
      </c>
      <c r="Y993" t="e">
        <f>VLOOKUP(A993,[2]!PRGX[[#All],[Proveedor]],1,FALSE)</f>
        <v>#REF!</v>
      </c>
    </row>
    <row r="994" spans="1:26" x14ac:dyDescent="0.25">
      <c r="A994" s="25">
        <v>12699</v>
      </c>
      <c r="B994" s="25" t="s">
        <v>1015</v>
      </c>
      <c r="C994" s="26">
        <v>5204</v>
      </c>
      <c r="D994" s="27">
        <v>89034514.040000007</v>
      </c>
      <c r="E994" s="27">
        <v>85704569.040000007</v>
      </c>
      <c r="F994" s="27">
        <v>3329945</v>
      </c>
      <c r="G994" s="27">
        <f>VLOOKUP(A994,'[1]saldos al 26May26'!$C$2:$I$1010,7,FALSE)</f>
        <v>9683.85</v>
      </c>
      <c r="H994" s="39" t="s">
        <v>54</v>
      </c>
      <c r="I994" s="28"/>
      <c r="J994" s="29"/>
      <c r="K994" s="25" t="s">
        <v>29</v>
      </c>
      <c r="L994" s="25" t="s">
        <v>30</v>
      </c>
      <c r="M994" s="36" t="s">
        <v>55</v>
      </c>
      <c r="N994" s="25"/>
      <c r="O994" t="s">
        <v>56</v>
      </c>
      <c r="P994" s="32">
        <v>-95041.889999999985</v>
      </c>
      <c r="Q994" s="30">
        <v>65875.38</v>
      </c>
      <c r="R994" s="30">
        <v>129755.75</v>
      </c>
      <c r="S994" s="30" t="s">
        <v>63</v>
      </c>
      <c r="T994" t="s">
        <v>33</v>
      </c>
      <c r="U994" s="31" t="e">
        <v>#N/A</v>
      </c>
      <c r="V994" t="s">
        <v>34</v>
      </c>
      <c r="Y994" t="e">
        <f>VLOOKUP(A994,[2]!PRGX[[#All],[Proveedor]],1,FALSE)</f>
        <v>#REF!</v>
      </c>
    </row>
    <row r="995" spans="1:26" x14ac:dyDescent="0.25">
      <c r="A995" s="25">
        <v>20751</v>
      </c>
      <c r="B995" s="25" t="s">
        <v>1016</v>
      </c>
      <c r="C995" s="26">
        <v>4454</v>
      </c>
      <c r="D995" s="27">
        <v>13782040.15</v>
      </c>
      <c r="E995" s="27">
        <v>13743714.5</v>
      </c>
      <c r="F995" s="27">
        <v>38325.65</v>
      </c>
      <c r="G995" s="27">
        <f>VLOOKUP(A995,'[1]saldos al 26May26'!$C$2:$I$1010,7,FALSE)</f>
        <v>-54426.6</v>
      </c>
      <c r="H995" s="27"/>
      <c r="I995" s="28"/>
      <c r="J995" s="29">
        <v>143629.12421432248</v>
      </c>
      <c r="K995" s="25" t="s">
        <v>40</v>
      </c>
      <c r="L995" s="25" t="s">
        <v>30</v>
      </c>
      <c r="M995" s="25" t="s">
        <v>55</v>
      </c>
      <c r="N995" s="25" t="s">
        <v>67</v>
      </c>
      <c r="O995" t="s">
        <v>67</v>
      </c>
      <c r="P995" s="30">
        <v>6306.55</v>
      </c>
      <c r="Q995" s="30">
        <v>0</v>
      </c>
      <c r="R995" s="30"/>
      <c r="S995" s="30" t="e">
        <v>#N/A</v>
      </c>
      <c r="T995" t="s">
        <v>34</v>
      </c>
      <c r="U995" s="31" t="e">
        <v>#N/A</v>
      </c>
      <c r="V995" t="s">
        <v>34</v>
      </c>
      <c r="Y995" t="e">
        <f>VLOOKUP(A995,[2]!PRGX[[#All],[Proveedor]],1,FALSE)</f>
        <v>#REF!</v>
      </c>
    </row>
    <row r="996" spans="1:26" x14ac:dyDescent="0.25">
      <c r="A996" s="25">
        <v>308721</v>
      </c>
      <c r="B996" s="25" t="s">
        <v>1017</v>
      </c>
      <c r="C996" s="26">
        <v>19752</v>
      </c>
      <c r="D996" s="27">
        <v>13594842.41</v>
      </c>
      <c r="E996" s="27">
        <v>11047574.630000001</v>
      </c>
      <c r="F996" s="27">
        <v>2547267.7799999998</v>
      </c>
      <c r="G996" s="27">
        <f>VLOOKUP(A996,'[1]saldos al 26May26'!$C$2:$I$1010,7,FALSE)</f>
        <v>-176670</v>
      </c>
      <c r="H996" s="27"/>
      <c r="I996" s="28"/>
      <c r="J996" s="29">
        <v>1280913.3382709401</v>
      </c>
      <c r="K996" s="25" t="s">
        <v>40</v>
      </c>
      <c r="L996" s="25" t="s">
        <v>30</v>
      </c>
      <c r="M996" s="25" t="s">
        <v>59</v>
      </c>
      <c r="N996" s="25" t="s">
        <v>87</v>
      </c>
      <c r="O996" t="s">
        <v>87</v>
      </c>
      <c r="P996" s="32">
        <v>-117258.34999999999</v>
      </c>
      <c r="Q996" s="30">
        <v>0</v>
      </c>
      <c r="R996" s="30"/>
      <c r="S996" s="30" t="e">
        <v>#N/A</v>
      </c>
      <c r="T996" t="s">
        <v>34</v>
      </c>
      <c r="U996" s="31" t="e">
        <v>#N/A</v>
      </c>
      <c r="V996" t="s">
        <v>34</v>
      </c>
      <c r="Y996" t="e">
        <f>VLOOKUP(A996,[2]!PRGX[[#All],[Proveedor]],1,FALSE)</f>
        <v>#REF!</v>
      </c>
    </row>
    <row r="997" spans="1:26" x14ac:dyDescent="0.25">
      <c r="A997" s="25">
        <v>70</v>
      </c>
      <c r="B997" s="25" t="s">
        <v>1018</v>
      </c>
      <c r="C997" s="26">
        <v>934</v>
      </c>
      <c r="D997" s="27">
        <v>13589682.960000001</v>
      </c>
      <c r="E997" s="27">
        <v>10141158.960000001</v>
      </c>
      <c r="F997" s="27">
        <v>3448524</v>
      </c>
      <c r="G997" s="27">
        <f>VLOOKUP(A997,'[1]saldos al 26May26'!$C$2:$I$1010,7,FALSE)</f>
        <v>-3035502.89</v>
      </c>
      <c r="H997" s="27"/>
      <c r="I997" s="28"/>
      <c r="J997" s="29">
        <v>100708.21562265199</v>
      </c>
      <c r="K997" s="25" t="s">
        <v>40</v>
      </c>
      <c r="L997" s="25" t="s">
        <v>30</v>
      </c>
      <c r="M997" s="25" t="s">
        <v>55</v>
      </c>
      <c r="N997" s="25" t="s">
        <v>45</v>
      </c>
      <c r="O997" t="s">
        <v>45</v>
      </c>
      <c r="P997" s="32">
        <v>-2750.06</v>
      </c>
      <c r="Q997" s="30">
        <v>0</v>
      </c>
      <c r="R997" s="30">
        <v>443069.52</v>
      </c>
      <c r="S997" s="30" t="e">
        <v>#N/A</v>
      </c>
      <c r="T997" t="s">
        <v>34</v>
      </c>
      <c r="U997" s="31" t="e">
        <v>#N/A</v>
      </c>
      <c r="V997" t="s">
        <v>34</v>
      </c>
      <c r="Y997" t="e">
        <f>VLOOKUP(A997,[2]!PRGX[[#All],[Proveedor]],1,FALSE)</f>
        <v>#REF!</v>
      </c>
    </row>
    <row r="998" spans="1:26" x14ac:dyDescent="0.25">
      <c r="A998" s="36">
        <v>500469</v>
      </c>
      <c r="B998" s="36" t="s">
        <v>1019</v>
      </c>
      <c r="C998" s="37">
        <v>1264</v>
      </c>
      <c r="D998" s="38">
        <v>13566974.02</v>
      </c>
      <c r="E998" s="38">
        <v>9001867.9399999995</v>
      </c>
      <c r="F998" s="38">
        <v>4565106.08</v>
      </c>
      <c r="G998" s="38" t="e">
        <f>VLOOKUP(A998,'[1]saldos al 26May26'!$C$2:$I$1010,7,FALSE)</f>
        <v>#N/A</v>
      </c>
      <c r="H998" s="39" t="s">
        <v>54</v>
      </c>
      <c r="I998" s="40" t="s">
        <v>27</v>
      </c>
      <c r="J998" s="41"/>
      <c r="K998" s="36" t="s">
        <v>29</v>
      </c>
      <c r="L998" s="36" t="s">
        <v>30</v>
      </c>
      <c r="M998" s="36" t="s">
        <v>55</v>
      </c>
      <c r="N998" s="25"/>
      <c r="O998" s="42" t="s">
        <v>47</v>
      </c>
      <c r="P998" s="30">
        <v>31993861.670000002</v>
      </c>
      <c r="Q998" s="30">
        <v>2263702.5700000003</v>
      </c>
      <c r="R998" s="30">
        <v>7308.89</v>
      </c>
      <c r="S998" s="30" t="s">
        <v>33</v>
      </c>
      <c r="T998" t="s">
        <v>33</v>
      </c>
      <c r="U998" s="31" t="e">
        <v>#N/A</v>
      </c>
      <c r="V998" t="s">
        <v>34</v>
      </c>
      <c r="Y998" t="e">
        <f>VLOOKUP(A998,[2]!PRGX[[#All],[Proveedor]],1,FALSE)</f>
        <v>#REF!</v>
      </c>
      <c r="Z998">
        <v>500469</v>
      </c>
    </row>
    <row r="999" spans="1:26" x14ac:dyDescent="0.25">
      <c r="A999" s="25">
        <v>23647</v>
      </c>
      <c r="B999" s="25" t="s">
        <v>1020</v>
      </c>
      <c r="C999" s="26">
        <v>8991</v>
      </c>
      <c r="D999" s="27">
        <v>13505406.130000001</v>
      </c>
      <c r="E999" s="27">
        <v>7148605.8900000006</v>
      </c>
      <c r="F999" s="27">
        <v>6356800.2400000002</v>
      </c>
      <c r="G999" s="27">
        <f>VLOOKUP(A999,'[1]saldos al 26May26'!$C$2:$I$1010,7,FALSE)</f>
        <v>-277627.67</v>
      </c>
      <c r="H999" s="27"/>
      <c r="I999" s="28"/>
      <c r="J999" s="29">
        <v>120416.4301986405</v>
      </c>
      <c r="K999" s="25" t="s">
        <v>40</v>
      </c>
      <c r="L999" s="25" t="s">
        <v>30</v>
      </c>
      <c r="M999" s="25" t="s">
        <v>55</v>
      </c>
      <c r="N999" s="25" t="s">
        <v>38</v>
      </c>
      <c r="O999" t="s">
        <v>38</v>
      </c>
      <c r="P999" s="32">
        <v>-1021.49</v>
      </c>
      <c r="Q999" s="30">
        <v>0</v>
      </c>
      <c r="R999" s="30"/>
      <c r="S999" s="30" t="s">
        <v>63</v>
      </c>
      <c r="T999" s="57" t="s">
        <v>33</v>
      </c>
      <c r="U999" s="31" t="s">
        <v>33</v>
      </c>
      <c r="V999" t="s">
        <v>33</v>
      </c>
      <c r="Y999" t="e">
        <f>VLOOKUP(A999,[2]!PRGX[[#All],[Proveedor]],1,FALSE)</f>
        <v>#REF!</v>
      </c>
    </row>
    <row r="1000" spans="1:26" s="42" customFormat="1" x14ac:dyDescent="0.25">
      <c r="A1000" s="25">
        <v>313692</v>
      </c>
      <c r="B1000" s="25" t="s">
        <v>1021</v>
      </c>
      <c r="C1000" s="26">
        <v>3002</v>
      </c>
      <c r="D1000" s="27">
        <v>13110618.92</v>
      </c>
      <c r="E1000" s="27">
        <v>12636808.74</v>
      </c>
      <c r="F1000" s="27">
        <v>473810.18</v>
      </c>
      <c r="G1000" s="27">
        <f>VLOOKUP(A1000,'[1]saldos al 26May26'!$C$2:$I$1010,7,FALSE)</f>
        <v>-110900.71</v>
      </c>
      <c r="H1000" s="27"/>
      <c r="I1000" s="28"/>
      <c r="J1000" s="29">
        <v>36065.85</v>
      </c>
      <c r="K1000" s="25" t="s">
        <v>40</v>
      </c>
      <c r="L1000" s="25" t="s">
        <v>30</v>
      </c>
      <c r="M1000" s="25" t="s">
        <v>55</v>
      </c>
      <c r="N1000" s="25" t="s">
        <v>70</v>
      </c>
      <c r="O1000" t="s">
        <v>70</v>
      </c>
      <c r="P1000" s="32">
        <v>-62496.31</v>
      </c>
      <c r="Q1000" s="30">
        <v>0</v>
      </c>
      <c r="R1000" s="30">
        <v>5631.4</v>
      </c>
      <c r="S1000" s="30" t="e">
        <v>#N/A</v>
      </c>
      <c r="T1000" t="s">
        <v>34</v>
      </c>
      <c r="U1000" s="31" t="e">
        <v>#N/A</v>
      </c>
      <c r="V1000" t="s">
        <v>34</v>
      </c>
      <c r="W1000"/>
      <c r="Y1000" t="e">
        <f>VLOOKUP(A1000,[2]!PRGX[[#All],[Proveedor]],1,FALSE)</f>
        <v>#REF!</v>
      </c>
      <c r="Z1000"/>
    </row>
    <row r="1001" spans="1:26" x14ac:dyDescent="0.25">
      <c r="A1001" s="36">
        <v>501107</v>
      </c>
      <c r="B1001" s="36" t="s">
        <v>1022</v>
      </c>
      <c r="C1001" s="37">
        <v>2307</v>
      </c>
      <c r="D1001" s="38">
        <v>13079161.295299999</v>
      </c>
      <c r="E1001" s="38">
        <v>7426843.3342999993</v>
      </c>
      <c r="F1001" s="38">
        <v>5652317.9610000001</v>
      </c>
      <c r="G1001" s="38" t="e">
        <f>VLOOKUP(A1001,'[1]saldos al 26May26'!$C$2:$I$1010,7,FALSE)</f>
        <v>#N/A</v>
      </c>
      <c r="H1001" s="39" t="s">
        <v>54</v>
      </c>
      <c r="I1001" s="40" t="s">
        <v>27</v>
      </c>
      <c r="J1001" s="41"/>
      <c r="K1001" s="36" t="s">
        <v>29</v>
      </c>
      <c r="L1001" s="36" t="s">
        <v>30</v>
      </c>
      <c r="M1001" s="36" t="s">
        <v>55</v>
      </c>
      <c r="N1001" s="25"/>
      <c r="O1001" s="42" t="s">
        <v>87</v>
      </c>
      <c r="P1001" s="30">
        <v>5810484.5300000003</v>
      </c>
      <c r="Q1001" s="30">
        <v>14178700.98</v>
      </c>
      <c r="R1001" s="30"/>
      <c r="S1001" s="30">
        <v>0</v>
      </c>
      <c r="T1001" t="s">
        <v>33</v>
      </c>
      <c r="U1001" s="31" t="e">
        <v>#N/A</v>
      </c>
      <c r="V1001" t="s">
        <v>34</v>
      </c>
      <c r="Y1001" t="e">
        <f>VLOOKUP(A1001,[2]!PRGX[[#All],[Proveedor]],1,FALSE)</f>
        <v>#REF!</v>
      </c>
      <c r="Z1001">
        <v>501107</v>
      </c>
    </row>
    <row r="1002" spans="1:26" x14ac:dyDescent="0.25">
      <c r="A1002" s="25">
        <v>10426</v>
      </c>
      <c r="B1002" s="25" t="s">
        <v>1023</v>
      </c>
      <c r="C1002" s="26">
        <v>11113</v>
      </c>
      <c r="D1002" s="27">
        <v>13035615.9</v>
      </c>
      <c r="E1002" s="27">
        <v>11623946.940000001</v>
      </c>
      <c r="F1002" s="27">
        <v>1411668.96</v>
      </c>
      <c r="G1002" s="27">
        <f>VLOOKUP(A1002,'[1]saldos al 26May26'!$C$2:$I$1010,7,FALSE)</f>
        <v>-322761.86</v>
      </c>
      <c r="H1002" s="27"/>
      <c r="I1002" s="28"/>
      <c r="J1002" s="29">
        <v>2518662.8058573045</v>
      </c>
      <c r="K1002" s="25" t="s">
        <v>40</v>
      </c>
      <c r="L1002" s="25" t="s">
        <v>30</v>
      </c>
      <c r="M1002" s="25" t="s">
        <v>59</v>
      </c>
      <c r="N1002" s="25" t="s">
        <v>45</v>
      </c>
      <c r="O1002" t="s">
        <v>45</v>
      </c>
      <c r="P1002" s="30">
        <v>0</v>
      </c>
      <c r="Q1002" s="30">
        <v>429696.88</v>
      </c>
      <c r="R1002" s="30"/>
      <c r="S1002" s="30" t="s">
        <v>63</v>
      </c>
      <c r="T1002" s="57" t="s">
        <v>33</v>
      </c>
      <c r="U1002" s="31" t="s">
        <v>33</v>
      </c>
      <c r="V1002" t="s">
        <v>33</v>
      </c>
      <c r="Y1002" t="e">
        <f>VLOOKUP(A1002,[2]!PRGX[[#All],[Proveedor]],1,FALSE)</f>
        <v>#REF!</v>
      </c>
    </row>
    <row r="1003" spans="1:26" x14ac:dyDescent="0.25">
      <c r="A1003" s="25">
        <v>25099</v>
      </c>
      <c r="B1003" s="25" t="s">
        <v>1024</v>
      </c>
      <c r="C1003" s="26">
        <v>91</v>
      </c>
      <c r="D1003" s="27">
        <v>80684549.258900002</v>
      </c>
      <c r="E1003" s="27">
        <v>26149539.279800005</v>
      </c>
      <c r="F1003" s="27">
        <v>54535009.979099996</v>
      </c>
      <c r="G1003" s="27">
        <f>VLOOKUP(A1003,'[1]saldos al 26May26'!$C$2:$I$1010,7,FALSE)</f>
        <v>-1148641.8400000001</v>
      </c>
      <c r="H1003" s="27"/>
      <c r="I1003" s="28"/>
      <c r="J1003" s="29"/>
      <c r="K1003" s="25" t="s">
        <v>40</v>
      </c>
      <c r="L1003" s="25" t="s">
        <v>30</v>
      </c>
      <c r="M1003" s="25" t="s">
        <v>55</v>
      </c>
      <c r="N1003" s="25" t="s">
        <v>56</v>
      </c>
      <c r="O1003" t="s">
        <v>56</v>
      </c>
      <c r="P1003" s="32">
        <v>-2069.46</v>
      </c>
      <c r="Q1003" s="30">
        <v>0</v>
      </c>
      <c r="R1003" s="30"/>
      <c r="S1003" s="30" t="e">
        <v>#N/A</v>
      </c>
      <c r="T1003" t="s">
        <v>34</v>
      </c>
      <c r="U1003" s="31" t="e">
        <v>#N/A</v>
      </c>
      <c r="V1003" t="s">
        <v>34</v>
      </c>
      <c r="Y1003" t="e">
        <f>VLOOKUP(A1003,[2]!PRGX[[#All],[Proveedor]],1,FALSE)</f>
        <v>#REF!</v>
      </c>
    </row>
    <row r="1004" spans="1:26" x14ac:dyDescent="0.25">
      <c r="A1004" s="36">
        <v>501065</v>
      </c>
      <c r="B1004" s="36" t="s">
        <v>1025</v>
      </c>
      <c r="C1004" s="37">
        <v>638</v>
      </c>
      <c r="D1004" s="38">
        <v>12927199.0211</v>
      </c>
      <c r="E1004" s="38">
        <v>9826631.2610999998</v>
      </c>
      <c r="F1004" s="38">
        <v>3100567.76</v>
      </c>
      <c r="G1004" s="38" t="e">
        <f>VLOOKUP(A1004,'[1]saldos al 26May26'!$C$2:$I$1010,7,FALSE)</f>
        <v>#N/A</v>
      </c>
      <c r="H1004" s="39" t="s">
        <v>54</v>
      </c>
      <c r="I1004" s="40" t="s">
        <v>27</v>
      </c>
      <c r="J1004" s="41"/>
      <c r="K1004" s="36" t="s">
        <v>29</v>
      </c>
      <c r="L1004" s="36" t="s">
        <v>30</v>
      </c>
      <c r="M1004" s="36" t="s">
        <v>55</v>
      </c>
      <c r="N1004" s="25"/>
      <c r="O1004" s="42" t="s">
        <v>96</v>
      </c>
      <c r="P1004" s="30">
        <v>10158524.6</v>
      </c>
      <c r="Q1004" s="30">
        <v>26056578.18</v>
      </c>
      <c r="R1004" s="30"/>
      <c r="S1004" s="30">
        <v>0</v>
      </c>
      <c r="T1004" t="s">
        <v>33</v>
      </c>
      <c r="U1004" s="31" t="e">
        <v>#N/A</v>
      </c>
      <c r="V1004" t="s">
        <v>34</v>
      </c>
      <c r="W1004" s="42"/>
      <c r="Y1004" t="e">
        <f>VLOOKUP(A1004,[2]!PRGX[[#All],[Proveedor]],1,FALSE)</f>
        <v>#REF!</v>
      </c>
      <c r="Z1004">
        <v>501065</v>
      </c>
    </row>
    <row r="1005" spans="1:26" x14ac:dyDescent="0.25">
      <c r="A1005" s="25">
        <v>395434</v>
      </c>
      <c r="B1005" s="25" t="s">
        <v>1026</v>
      </c>
      <c r="C1005" s="26">
        <v>5480</v>
      </c>
      <c r="D1005" s="27">
        <v>12207515.060000001</v>
      </c>
      <c r="E1005" s="27">
        <v>11131245.200000001</v>
      </c>
      <c r="F1005" s="27">
        <v>1076269.8600000001</v>
      </c>
      <c r="G1005" s="27">
        <f>VLOOKUP(A1005,'[1]saldos al 26May26'!$C$2:$I$1010,7,FALSE)</f>
        <v>-104100.74</v>
      </c>
      <c r="H1005" s="27"/>
      <c r="I1005" s="28"/>
      <c r="J1005" s="29">
        <v>35304.185942887503</v>
      </c>
      <c r="K1005" s="25" t="s">
        <v>40</v>
      </c>
      <c r="L1005" s="25" t="s">
        <v>30</v>
      </c>
      <c r="M1005" s="25" t="s">
        <v>55</v>
      </c>
      <c r="N1005" s="25" t="s">
        <v>51</v>
      </c>
      <c r="O1005" t="s">
        <v>51</v>
      </c>
      <c r="P1005" s="30">
        <v>25371.249999999993</v>
      </c>
      <c r="Q1005" s="30">
        <v>0</v>
      </c>
      <c r="R1005" s="30"/>
      <c r="S1005" s="30" t="e">
        <v>#N/A</v>
      </c>
      <c r="T1005" t="s">
        <v>34</v>
      </c>
      <c r="U1005" s="31" t="e">
        <v>#N/A</v>
      </c>
      <c r="V1005" t="s">
        <v>34</v>
      </c>
      <c r="Y1005" t="e">
        <f>VLOOKUP(A1005,[2]!PRGX[[#All],[Proveedor]],1,FALSE)</f>
        <v>#REF!</v>
      </c>
    </row>
    <row r="1006" spans="1:26" x14ac:dyDescent="0.25">
      <c r="A1006" s="25">
        <v>20793</v>
      </c>
      <c r="B1006" s="25" t="s">
        <v>1027</v>
      </c>
      <c r="C1006" s="26">
        <v>2580</v>
      </c>
      <c r="D1006" s="27">
        <v>11476409.460000001</v>
      </c>
      <c r="E1006" s="27">
        <v>7454983.4400000013</v>
      </c>
      <c r="F1006" s="27">
        <v>4021426.02</v>
      </c>
      <c r="G1006" s="27">
        <f>VLOOKUP(A1006,'[1]saldos al 26May26'!$C$2:$I$1010,7,FALSE)</f>
        <v>-422072.22</v>
      </c>
      <c r="H1006" s="27"/>
      <c r="I1006" s="28"/>
      <c r="J1006" s="29">
        <v>70467.847958063983</v>
      </c>
      <c r="K1006" s="25" t="s">
        <v>40</v>
      </c>
      <c r="L1006" s="25" t="s">
        <v>30</v>
      </c>
      <c r="M1006" s="25" t="s">
        <v>55</v>
      </c>
      <c r="N1006" s="25" t="s">
        <v>36</v>
      </c>
      <c r="O1006" t="s">
        <v>36</v>
      </c>
      <c r="P1006" s="32">
        <v>-2115.41</v>
      </c>
      <c r="Q1006" s="30">
        <v>0</v>
      </c>
      <c r="R1006" s="30"/>
      <c r="S1006" s="30" t="e">
        <v>#N/A</v>
      </c>
      <c r="T1006" t="s">
        <v>34</v>
      </c>
      <c r="U1006" s="31">
        <v>0</v>
      </c>
      <c r="V1006" t="s">
        <v>42</v>
      </c>
      <c r="Y1006" t="e">
        <f>VLOOKUP(A1006,[2]!PRGX[[#All],[Proveedor]],1,FALSE)</f>
        <v>#REF!</v>
      </c>
    </row>
    <row r="1007" spans="1:26" x14ac:dyDescent="0.25">
      <c r="A1007" s="25">
        <v>43398</v>
      </c>
      <c r="B1007" s="25" t="s">
        <v>1028</v>
      </c>
      <c r="C1007" s="26">
        <v>400</v>
      </c>
      <c r="D1007" s="27">
        <v>11416682</v>
      </c>
      <c r="E1007" s="27">
        <v>11178920</v>
      </c>
      <c r="F1007" s="27">
        <v>237762</v>
      </c>
      <c r="G1007" s="27">
        <f>VLOOKUP(A1007,'[1]saldos al 26May26'!$C$2:$I$1010,7,FALSE)</f>
        <v>-984021.19</v>
      </c>
      <c r="H1007" s="27"/>
      <c r="I1007" s="28"/>
      <c r="J1007" s="29">
        <v>183453.868954134</v>
      </c>
      <c r="K1007" s="25" t="s">
        <v>40</v>
      </c>
      <c r="L1007" s="25" t="s">
        <v>30</v>
      </c>
      <c r="M1007" s="25" t="s">
        <v>55</v>
      </c>
      <c r="N1007" s="25" t="s">
        <v>87</v>
      </c>
      <c r="O1007" t="s">
        <v>87</v>
      </c>
      <c r="P1007" s="32">
        <v>-168348.48</v>
      </c>
      <c r="Q1007" s="30">
        <v>0</v>
      </c>
      <c r="R1007" s="30"/>
      <c r="S1007" s="30" t="e">
        <v>#N/A</v>
      </c>
      <c r="T1007" t="s">
        <v>34</v>
      </c>
      <c r="U1007" s="31" t="e">
        <v>#N/A</v>
      </c>
      <c r="V1007" t="s">
        <v>34</v>
      </c>
      <c r="Y1007" t="e">
        <f>VLOOKUP(A1007,[2]!PRGX[[#All],[Proveedor]],1,FALSE)</f>
        <v>#REF!</v>
      </c>
    </row>
    <row r="1008" spans="1:26" s="42" customFormat="1" x14ac:dyDescent="0.25">
      <c r="A1008" s="36">
        <v>384578</v>
      </c>
      <c r="B1008" s="36" t="s">
        <v>1029</v>
      </c>
      <c r="C1008" s="37">
        <v>148</v>
      </c>
      <c r="D1008" s="38">
        <v>11270447.01</v>
      </c>
      <c r="E1008" s="38">
        <v>8750889.3599999994</v>
      </c>
      <c r="F1008" s="38">
        <v>2519557.65</v>
      </c>
      <c r="G1008" s="38" t="e">
        <f>VLOOKUP(A1008,'[1]saldos al 26May26'!$C$2:$I$1010,7,FALSE)</f>
        <v>#N/A</v>
      </c>
      <c r="H1008" s="39" t="s">
        <v>54</v>
      </c>
      <c r="I1008" s="40"/>
      <c r="J1008" s="41">
        <v>163623.99623778299</v>
      </c>
      <c r="K1008" s="36" t="s">
        <v>40</v>
      </c>
      <c r="L1008" s="36" t="s">
        <v>30</v>
      </c>
      <c r="M1008" s="36" t="s">
        <v>55</v>
      </c>
      <c r="N1008" s="25" t="s">
        <v>51</v>
      </c>
      <c r="O1008" s="42" t="s">
        <v>51</v>
      </c>
      <c r="P1008" s="32">
        <v>-4866</v>
      </c>
      <c r="Q1008" s="30">
        <v>0</v>
      </c>
      <c r="R1008" s="30"/>
      <c r="S1008" s="30" t="e">
        <v>#N/A</v>
      </c>
      <c r="T1008" t="s">
        <v>34</v>
      </c>
      <c r="U1008" s="31" t="e">
        <v>#N/A</v>
      </c>
      <c r="V1008" t="s">
        <v>34</v>
      </c>
      <c r="W1008"/>
      <c r="Y1008" t="e">
        <f>VLOOKUP(A1008,[2]!PRGX[[#All],[Proveedor]],1,FALSE)</f>
        <v>#REF!</v>
      </c>
      <c r="Z1008"/>
    </row>
    <row r="1009" spans="1:26" x14ac:dyDescent="0.25">
      <c r="A1009" s="25">
        <v>6052</v>
      </c>
      <c r="B1009" s="25" t="s">
        <v>1030</v>
      </c>
      <c r="C1009" s="26">
        <v>3870</v>
      </c>
      <c r="D1009" s="27">
        <v>11253978.359999999</v>
      </c>
      <c r="E1009" s="27">
        <v>8366343.6599999992</v>
      </c>
      <c r="F1009" s="27">
        <v>2887634.7</v>
      </c>
      <c r="G1009" s="27">
        <f>VLOOKUP(A1009,'[1]saldos al 26May26'!$C$2:$I$1010,7,FALSE)</f>
        <v>-466893.29</v>
      </c>
      <c r="H1009" s="27"/>
      <c r="I1009" s="28"/>
      <c r="J1009" s="29">
        <v>87000.707068095508</v>
      </c>
      <c r="K1009" s="25" t="s">
        <v>40</v>
      </c>
      <c r="L1009" s="25" t="s">
        <v>30</v>
      </c>
      <c r="M1009" s="25" t="s">
        <v>55</v>
      </c>
      <c r="N1009" s="25" t="s">
        <v>51</v>
      </c>
      <c r="O1009" t="s">
        <v>51</v>
      </c>
      <c r="P1009" s="32">
        <v>-8849.1</v>
      </c>
      <c r="Q1009" s="30">
        <v>0</v>
      </c>
      <c r="R1009" s="30">
        <v>497.82</v>
      </c>
      <c r="S1009" s="30" t="e">
        <v>#N/A</v>
      </c>
      <c r="T1009" t="s">
        <v>34</v>
      </c>
      <c r="U1009" s="31" t="e">
        <v>#N/A</v>
      </c>
      <c r="V1009" t="s">
        <v>34</v>
      </c>
      <c r="Y1009" t="e">
        <f>VLOOKUP(A1009,[2]!PRGX[[#All],[Proveedor]],1,FALSE)</f>
        <v>#REF!</v>
      </c>
    </row>
    <row r="1010" spans="1:26" x14ac:dyDescent="0.25">
      <c r="A1010" s="25">
        <v>24651</v>
      </c>
      <c r="B1010" s="25" t="s">
        <v>1031</v>
      </c>
      <c r="C1010" s="26">
        <v>4700</v>
      </c>
      <c r="D1010" s="27">
        <v>11101752</v>
      </c>
      <c r="E1010" s="27">
        <v>9203400</v>
      </c>
      <c r="F1010" s="27">
        <v>1898352</v>
      </c>
      <c r="G1010" s="27">
        <f>VLOOKUP(A1010,'[1]saldos al 26May26'!$C$2:$I$1010,7,FALSE)</f>
        <v>-83874.960000000006</v>
      </c>
      <c r="H1010" s="27"/>
      <c r="I1010" s="28"/>
      <c r="J1010" s="29"/>
      <c r="K1010" s="25" t="s">
        <v>29</v>
      </c>
      <c r="L1010" s="25" t="s">
        <v>30</v>
      </c>
      <c r="M1010" s="25" t="s">
        <v>31</v>
      </c>
      <c r="N1010" s="25"/>
      <c r="O1010" t="s">
        <v>96</v>
      </c>
      <c r="P1010" s="32">
        <v>-3452.16</v>
      </c>
      <c r="Q1010" s="30">
        <v>0</v>
      </c>
      <c r="R1010" s="30"/>
      <c r="S1010" s="30" t="s">
        <v>33</v>
      </c>
      <c r="T1010" t="s">
        <v>33</v>
      </c>
      <c r="U1010" s="31" t="e">
        <v>#N/A</v>
      </c>
      <c r="V1010" t="s">
        <v>34</v>
      </c>
      <c r="Y1010" t="e">
        <f>VLOOKUP(A1010,[2]!PRGX[[#All],[Proveedor]],1,FALSE)</f>
        <v>#REF!</v>
      </c>
    </row>
    <row r="1011" spans="1:26" x14ac:dyDescent="0.25">
      <c r="A1011" s="25">
        <v>18943</v>
      </c>
      <c r="B1011" s="25" t="s">
        <v>1032</v>
      </c>
      <c r="C1011" s="26">
        <v>224</v>
      </c>
      <c r="D1011" s="27">
        <v>10877011.199999999</v>
      </c>
      <c r="E1011" s="27">
        <v>7827811.1999999993</v>
      </c>
      <c r="F1011" s="27">
        <v>3049200</v>
      </c>
      <c r="G1011" s="27">
        <f>VLOOKUP(A1011,'[1]saldos al 26May26'!$C$2:$I$1010,7,FALSE)</f>
        <v>-870645.6</v>
      </c>
      <c r="H1011" s="27"/>
      <c r="I1011" s="28"/>
      <c r="J1011" s="29">
        <v>100386</v>
      </c>
      <c r="K1011" s="25" t="s">
        <v>40</v>
      </c>
      <c r="L1011" s="25" t="s">
        <v>30</v>
      </c>
      <c r="M1011" s="25" t="s">
        <v>55</v>
      </c>
      <c r="N1011" s="25" t="s">
        <v>80</v>
      </c>
      <c r="O1011" t="s">
        <v>80</v>
      </c>
      <c r="P1011" s="32">
        <v>-79200</v>
      </c>
      <c r="Q1011" s="30">
        <v>0</v>
      </c>
      <c r="R1011" s="30"/>
      <c r="S1011" s="30" t="s">
        <v>63</v>
      </c>
      <c r="T1011" s="57" t="s">
        <v>33</v>
      </c>
      <c r="U1011" s="31" t="s">
        <v>33</v>
      </c>
      <c r="V1011" t="s">
        <v>33</v>
      </c>
      <c r="Y1011" t="e">
        <f>VLOOKUP(A1011,[2]!PRGX[[#All],[Proveedor]],1,FALSE)</f>
        <v>#REF!</v>
      </c>
    </row>
    <row r="1012" spans="1:26" x14ac:dyDescent="0.25">
      <c r="A1012" s="36">
        <v>501060</v>
      </c>
      <c r="B1012" s="36" t="s">
        <v>1033</v>
      </c>
      <c r="C1012" s="37">
        <v>149</v>
      </c>
      <c r="D1012" s="38">
        <v>10864004.0902</v>
      </c>
      <c r="E1012" s="38">
        <v>7011901.6219999995</v>
      </c>
      <c r="F1012" s="38">
        <v>3852102.4682</v>
      </c>
      <c r="G1012" s="38" t="e">
        <f>VLOOKUP(A1012,'[1]saldos al 26May26'!$C$2:$I$1010,7,FALSE)</f>
        <v>#N/A</v>
      </c>
      <c r="H1012" s="39" t="s">
        <v>54</v>
      </c>
      <c r="I1012" s="40" t="s">
        <v>27</v>
      </c>
      <c r="J1012" s="41"/>
      <c r="K1012" s="36" t="s">
        <v>29</v>
      </c>
      <c r="L1012" s="36" t="s">
        <v>30</v>
      </c>
      <c r="M1012" s="36" t="s">
        <v>55</v>
      </c>
      <c r="N1012" s="25"/>
      <c r="O1012" s="42" t="s">
        <v>67</v>
      </c>
      <c r="P1012" s="30">
        <v>32004579.720000003</v>
      </c>
      <c r="Q1012" s="30">
        <v>29339944.57</v>
      </c>
      <c r="R1012" s="30"/>
      <c r="S1012" s="30" t="s">
        <v>33</v>
      </c>
      <c r="T1012" t="s">
        <v>33</v>
      </c>
      <c r="U1012" s="31" t="e">
        <v>#N/A</v>
      </c>
      <c r="V1012" t="s">
        <v>34</v>
      </c>
      <c r="W1012" s="42"/>
      <c r="Y1012" t="e">
        <f>VLOOKUP(A1012,[2]!PRGX[[#All],[Proveedor]],1,FALSE)</f>
        <v>#REF!</v>
      </c>
      <c r="Z1012">
        <v>501060</v>
      </c>
    </row>
    <row r="1013" spans="1:26" x14ac:dyDescent="0.25">
      <c r="A1013" s="25">
        <v>25275</v>
      </c>
      <c r="B1013" s="25" t="s">
        <v>1034</v>
      </c>
      <c r="C1013" s="26">
        <v>1769</v>
      </c>
      <c r="D1013" s="27">
        <v>58048922.799999997</v>
      </c>
      <c r="E1013" s="27">
        <v>4998997.799999997</v>
      </c>
      <c r="F1013" s="27">
        <v>53049925</v>
      </c>
      <c r="G1013" s="27">
        <f>VLOOKUP(A1013,'[1]saldos al 26May26'!$C$2:$I$1010,7,FALSE)</f>
        <v>-464865</v>
      </c>
      <c r="H1013" s="27"/>
      <c r="I1013" s="28"/>
      <c r="J1013" s="29"/>
      <c r="K1013" s="25" t="s">
        <v>40</v>
      </c>
      <c r="L1013" s="25" t="s">
        <v>30</v>
      </c>
      <c r="M1013" s="25" t="s">
        <v>55</v>
      </c>
      <c r="N1013" s="25" t="s">
        <v>56</v>
      </c>
      <c r="O1013" t="s">
        <v>56</v>
      </c>
      <c r="P1013" s="32">
        <v>-7660</v>
      </c>
      <c r="Q1013" s="30">
        <v>0</v>
      </c>
      <c r="R1013" s="30"/>
      <c r="S1013" s="30" t="e">
        <v>#N/A</v>
      </c>
      <c r="T1013" t="s">
        <v>34</v>
      </c>
      <c r="U1013" s="31" t="e">
        <v>#N/A</v>
      </c>
      <c r="V1013" t="s">
        <v>34</v>
      </c>
      <c r="W1013" s="42"/>
      <c r="Y1013" t="e">
        <f>VLOOKUP(A1013,[2]!PRGX[[#All],[Proveedor]],1,FALSE)</f>
        <v>#REF!</v>
      </c>
    </row>
    <row r="1014" spans="1:26" x14ac:dyDescent="0.25">
      <c r="A1014" s="25">
        <v>4437</v>
      </c>
      <c r="B1014" s="25" t="s">
        <v>1035</v>
      </c>
      <c r="C1014" s="26">
        <v>17937</v>
      </c>
      <c r="D1014" s="27">
        <v>10788102.145099999</v>
      </c>
      <c r="E1014" s="27">
        <v>6649562.1750999987</v>
      </c>
      <c r="F1014" s="27">
        <v>4138539.97</v>
      </c>
      <c r="G1014" s="27">
        <f>VLOOKUP(A1014,'[1]saldos al 26May26'!$C$2:$I$1010,7,FALSE)</f>
        <v>-180857.23</v>
      </c>
      <c r="H1014" s="27"/>
      <c r="I1014" s="28"/>
      <c r="J1014" s="29">
        <v>32103.687311248999</v>
      </c>
      <c r="K1014" s="25" t="s">
        <v>40</v>
      </c>
      <c r="L1014" s="25" t="s">
        <v>30</v>
      </c>
      <c r="M1014" s="25" t="s">
        <v>55</v>
      </c>
      <c r="N1014" s="25" t="s">
        <v>70</v>
      </c>
      <c r="O1014" t="s">
        <v>70</v>
      </c>
      <c r="P1014" s="32">
        <v>-2947.1499999999996</v>
      </c>
      <c r="Q1014" s="30">
        <v>0</v>
      </c>
      <c r="R1014" s="30"/>
      <c r="S1014" s="30" t="e">
        <v>#N/A</v>
      </c>
      <c r="T1014" t="s">
        <v>34</v>
      </c>
      <c r="U1014" s="31" t="e">
        <v>#N/A</v>
      </c>
      <c r="V1014" t="s">
        <v>34</v>
      </c>
      <c r="Y1014" t="e">
        <f>VLOOKUP(A1014,[2]!PRGX[[#All],[Proveedor]],1,FALSE)</f>
        <v>#REF!</v>
      </c>
    </row>
    <row r="1015" spans="1:26" x14ac:dyDescent="0.25">
      <c r="A1015" s="36">
        <v>500680</v>
      </c>
      <c r="B1015" s="36" t="s">
        <v>1036</v>
      </c>
      <c r="C1015" s="37">
        <v>913</v>
      </c>
      <c r="D1015" s="38">
        <v>10628754.4</v>
      </c>
      <c r="E1015" s="38">
        <v>8009453.25</v>
      </c>
      <c r="F1015" s="38">
        <v>2619301.15</v>
      </c>
      <c r="G1015" s="38" t="e">
        <f>VLOOKUP(A1015,'[1]saldos al 26May26'!$C$2:$I$1010,7,FALSE)</f>
        <v>#N/A</v>
      </c>
      <c r="H1015" s="39" t="s">
        <v>54</v>
      </c>
      <c r="I1015" s="40" t="s">
        <v>27</v>
      </c>
      <c r="J1015" s="41"/>
      <c r="K1015" s="36" t="s">
        <v>29</v>
      </c>
      <c r="L1015" s="36" t="s">
        <v>30</v>
      </c>
      <c r="M1015" s="36" t="s">
        <v>55</v>
      </c>
      <c r="N1015" s="25"/>
      <c r="O1015" s="42" t="s">
        <v>87</v>
      </c>
      <c r="P1015" s="30">
        <v>10226363.640000001</v>
      </c>
      <c r="Q1015" s="30">
        <v>351981.86</v>
      </c>
      <c r="R1015" s="30"/>
      <c r="S1015" s="30" t="s">
        <v>33</v>
      </c>
      <c r="T1015" t="s">
        <v>33</v>
      </c>
      <c r="U1015" s="31" t="e">
        <v>#N/A</v>
      </c>
      <c r="V1015" t="s">
        <v>34</v>
      </c>
      <c r="W1015" s="42"/>
      <c r="Y1015" t="e">
        <f>VLOOKUP(A1015,[2]!PRGX[[#All],[Proveedor]],1,FALSE)</f>
        <v>#REF!</v>
      </c>
      <c r="Z1015">
        <v>500680</v>
      </c>
    </row>
    <row r="1016" spans="1:26" x14ac:dyDescent="0.25">
      <c r="A1016" s="25">
        <v>96685</v>
      </c>
      <c r="B1016" s="25" t="s">
        <v>1037</v>
      </c>
      <c r="C1016" s="26">
        <v>1634</v>
      </c>
      <c r="D1016" s="27">
        <v>10265047.5</v>
      </c>
      <c r="E1016" s="27">
        <v>8246647.5</v>
      </c>
      <c r="F1016" s="27">
        <v>2018400</v>
      </c>
      <c r="G1016" s="27">
        <f>VLOOKUP(A1016,'[1]saldos al 26May26'!$C$2:$I$1010,7,FALSE)</f>
        <v>9020.1200000000008</v>
      </c>
      <c r="H1016" s="39" t="s">
        <v>54</v>
      </c>
      <c r="I1016" s="28"/>
      <c r="J1016" s="29">
        <v>240397.37336111948</v>
      </c>
      <c r="K1016" s="25" t="s">
        <v>40</v>
      </c>
      <c r="L1016" s="25" t="s">
        <v>30</v>
      </c>
      <c r="M1016" s="36" t="s">
        <v>55</v>
      </c>
      <c r="N1016" s="25" t="s">
        <v>45</v>
      </c>
      <c r="O1016" t="s">
        <v>45</v>
      </c>
      <c r="P1016" s="32">
        <v>-600207</v>
      </c>
      <c r="Q1016" s="30">
        <v>0</v>
      </c>
      <c r="R1016" s="30"/>
      <c r="S1016" s="30" t="e">
        <v>#N/A</v>
      </c>
      <c r="T1016" t="s">
        <v>34</v>
      </c>
      <c r="U1016" s="31" t="e">
        <v>#N/A</v>
      </c>
      <c r="V1016" t="s">
        <v>34</v>
      </c>
      <c r="Y1016" t="e">
        <f>VLOOKUP(A1016,[2]!PRGX[[#All],[Proveedor]],1,FALSE)</f>
        <v>#REF!</v>
      </c>
    </row>
    <row r="1017" spans="1:26" x14ac:dyDescent="0.25">
      <c r="A1017" s="25">
        <v>24326</v>
      </c>
      <c r="B1017" s="25" t="s">
        <v>1038</v>
      </c>
      <c r="C1017" s="26">
        <v>976</v>
      </c>
      <c r="D1017" s="27">
        <v>9917496</v>
      </c>
      <c r="E1017" s="27">
        <v>6990984</v>
      </c>
      <c r="F1017" s="27">
        <v>2926512</v>
      </c>
      <c r="G1017" s="27">
        <f>VLOOKUP(A1017,'[1]saldos al 26May26'!$C$2:$I$1010,7,FALSE)</f>
        <v>-514918.87</v>
      </c>
      <c r="H1017" s="27"/>
      <c r="I1017" s="28"/>
      <c r="J1017" s="29">
        <v>30309.975151627499</v>
      </c>
      <c r="K1017" s="25" t="s">
        <v>40</v>
      </c>
      <c r="L1017" s="25" t="s">
        <v>30</v>
      </c>
      <c r="M1017" s="25" t="s">
        <v>55</v>
      </c>
      <c r="N1017" s="25" t="s">
        <v>32</v>
      </c>
      <c r="O1017" t="s">
        <v>32</v>
      </c>
      <c r="P1017" s="32">
        <v>-123669</v>
      </c>
      <c r="Q1017" s="30">
        <v>0</v>
      </c>
      <c r="R1017" s="30">
        <v>40000</v>
      </c>
      <c r="S1017" s="30" t="e">
        <v>#N/A</v>
      </c>
      <c r="T1017" t="s">
        <v>34</v>
      </c>
      <c r="U1017" s="31" t="e">
        <v>#N/A</v>
      </c>
      <c r="V1017" t="s">
        <v>34</v>
      </c>
      <c r="Y1017" t="e">
        <f>VLOOKUP(A1017,[2]!PRGX[[#All],[Proveedor]],1,FALSE)</f>
        <v>#REF!</v>
      </c>
    </row>
    <row r="1018" spans="1:26" x14ac:dyDescent="0.25">
      <c r="A1018" s="36">
        <v>500587</v>
      </c>
      <c r="B1018" s="36" t="s">
        <v>1039</v>
      </c>
      <c r="C1018" s="37">
        <v>577</v>
      </c>
      <c r="D1018" s="38">
        <v>9836997.9900000002</v>
      </c>
      <c r="E1018" s="38">
        <v>9612666.0899999999</v>
      </c>
      <c r="F1018" s="38">
        <v>224331.9</v>
      </c>
      <c r="G1018" s="38" t="e">
        <f>VLOOKUP(A1018,'[1]saldos al 26May26'!$C$2:$I$1010,7,FALSE)</f>
        <v>#N/A</v>
      </c>
      <c r="H1018" s="39" t="s">
        <v>54</v>
      </c>
      <c r="I1018" s="40" t="s">
        <v>27</v>
      </c>
      <c r="J1018" s="41"/>
      <c r="K1018" s="36" t="s">
        <v>29</v>
      </c>
      <c r="L1018" s="36" t="s">
        <v>30</v>
      </c>
      <c r="M1018" s="36" t="s">
        <v>55</v>
      </c>
      <c r="N1018" s="25"/>
      <c r="O1018" s="42" t="s">
        <v>70</v>
      </c>
      <c r="P1018" s="30">
        <v>67111074.390000001</v>
      </c>
      <c r="Q1018" s="30">
        <v>14049463.26</v>
      </c>
      <c r="R1018" s="30"/>
      <c r="S1018" s="30" t="s">
        <v>33</v>
      </c>
      <c r="T1018" t="s">
        <v>33</v>
      </c>
      <c r="U1018" s="31" t="e">
        <v>#N/A</v>
      </c>
      <c r="V1018" t="s">
        <v>34</v>
      </c>
      <c r="W1018" s="42"/>
      <c r="Y1018" t="e">
        <f>VLOOKUP(A1018,[2]!PRGX[[#All],[Proveedor]],1,FALSE)</f>
        <v>#REF!</v>
      </c>
      <c r="Z1018">
        <v>500587</v>
      </c>
    </row>
    <row r="1019" spans="1:26" x14ac:dyDescent="0.25">
      <c r="A1019" s="25">
        <v>386029</v>
      </c>
      <c r="B1019" s="25" t="s">
        <v>1040</v>
      </c>
      <c r="C1019" s="26">
        <v>1495</v>
      </c>
      <c r="D1019" s="27">
        <v>58047565.6928</v>
      </c>
      <c r="E1019" s="27">
        <v>49916389.5528</v>
      </c>
      <c r="F1019" s="27">
        <v>8131176.1399999997</v>
      </c>
      <c r="G1019" s="27">
        <f>VLOOKUP(A1019,'[1]saldos al 26May26'!$C$2:$I$1010,7,FALSE)</f>
        <v>-865815.24</v>
      </c>
      <c r="H1019" s="27"/>
      <c r="I1019" s="28"/>
      <c r="J1019" s="29"/>
      <c r="K1019" s="25" t="s">
        <v>29</v>
      </c>
      <c r="L1019" s="25" t="s">
        <v>30</v>
      </c>
      <c r="M1019" s="25" t="s">
        <v>50</v>
      </c>
      <c r="N1019" s="25"/>
      <c r="O1019" t="s">
        <v>56</v>
      </c>
      <c r="P1019" s="32">
        <v>-383260.19</v>
      </c>
      <c r="Q1019" s="30">
        <v>0</v>
      </c>
      <c r="R1019" s="30"/>
      <c r="S1019" s="30" t="s">
        <v>33</v>
      </c>
      <c r="T1019" t="s">
        <v>33</v>
      </c>
      <c r="U1019" s="31" t="e">
        <v>#N/A</v>
      </c>
      <c r="V1019" t="s">
        <v>34</v>
      </c>
      <c r="Y1019" t="e">
        <f>VLOOKUP(A1019,[2]!PRGX[[#All],[Proveedor]],1,FALSE)</f>
        <v>#REF!</v>
      </c>
    </row>
    <row r="1020" spans="1:26" x14ac:dyDescent="0.25">
      <c r="A1020" s="25">
        <v>311696</v>
      </c>
      <c r="B1020" s="25" t="s">
        <v>1041</v>
      </c>
      <c r="C1020" s="26">
        <v>1214</v>
      </c>
      <c r="D1020" s="27">
        <v>9156702.1099999994</v>
      </c>
      <c r="E1020" s="27">
        <v>5601460.2299999995</v>
      </c>
      <c r="F1020" s="27">
        <v>3555241.88</v>
      </c>
      <c r="G1020" s="27">
        <f>VLOOKUP(A1020,'[1]saldos al 26May26'!$C$2:$I$1010,7,FALSE)</f>
        <v>-956290.65</v>
      </c>
      <c r="H1020" s="27"/>
      <c r="I1020" s="28"/>
      <c r="J1020" s="29">
        <v>270189.17627563799</v>
      </c>
      <c r="K1020" s="25" t="s">
        <v>40</v>
      </c>
      <c r="L1020" s="25" t="s">
        <v>30</v>
      </c>
      <c r="M1020" s="25" t="s">
        <v>31</v>
      </c>
      <c r="N1020" s="25" t="s">
        <v>41</v>
      </c>
      <c r="O1020" t="s">
        <v>41</v>
      </c>
      <c r="P1020" s="32">
        <v>-8008.6900000000005</v>
      </c>
      <c r="Q1020" s="30">
        <v>0</v>
      </c>
      <c r="R1020" s="30">
        <v>217702.95</v>
      </c>
      <c r="S1020" s="30" t="s">
        <v>63</v>
      </c>
      <c r="T1020" s="57" t="s">
        <v>33</v>
      </c>
      <c r="U1020" s="31" t="s">
        <v>33</v>
      </c>
      <c r="V1020" t="s">
        <v>33</v>
      </c>
      <c r="Y1020" t="e">
        <f>VLOOKUP(A1020,[2]!PRGX[[#All],[Proveedor]],1,FALSE)</f>
        <v>#REF!</v>
      </c>
    </row>
    <row r="1021" spans="1:26" x14ac:dyDescent="0.25">
      <c r="A1021" s="25">
        <v>212257</v>
      </c>
      <c r="B1021" s="25" t="s">
        <v>1042</v>
      </c>
      <c r="C1021" s="26">
        <v>1206</v>
      </c>
      <c r="D1021" s="27">
        <v>24322534.16</v>
      </c>
      <c r="E1021" s="27">
        <v>21959219.52</v>
      </c>
      <c r="F1021" s="27">
        <v>2363314.64</v>
      </c>
      <c r="G1021" s="27">
        <f>VLOOKUP(A1021,'[1]saldos al 26May26'!$C$2:$I$1010,7,FALSE)</f>
        <v>-587083</v>
      </c>
      <c r="H1021" s="27"/>
      <c r="I1021" s="28"/>
      <c r="J1021" s="29"/>
      <c r="K1021" s="25" t="s">
        <v>29</v>
      </c>
      <c r="L1021" s="25" t="s">
        <v>30</v>
      </c>
      <c r="M1021" s="25" t="s">
        <v>55</v>
      </c>
      <c r="N1021" s="25"/>
      <c r="O1021" t="s">
        <v>56</v>
      </c>
      <c r="P1021" s="32">
        <v>-195126.24</v>
      </c>
      <c r="Q1021" s="30">
        <v>0</v>
      </c>
      <c r="R1021" s="30"/>
      <c r="S1021" s="30" t="s">
        <v>63</v>
      </c>
      <c r="T1021" t="s">
        <v>33</v>
      </c>
      <c r="U1021" s="31" t="e">
        <v>#N/A</v>
      </c>
      <c r="V1021" t="s">
        <v>34</v>
      </c>
      <c r="Y1021" t="e">
        <f>VLOOKUP(A1021,[2]!PRGX[[#All],[Proveedor]],1,FALSE)</f>
        <v>#REF!</v>
      </c>
    </row>
    <row r="1022" spans="1:26" x14ac:dyDescent="0.25">
      <c r="A1022" s="25">
        <v>314658</v>
      </c>
      <c r="B1022" s="25" t="s">
        <v>1043</v>
      </c>
      <c r="C1022" s="26">
        <v>1465</v>
      </c>
      <c r="D1022" s="27">
        <v>8657484.6999999993</v>
      </c>
      <c r="E1022" s="27">
        <v>8645382.1600000001</v>
      </c>
      <c r="F1022" s="27">
        <v>12102.54</v>
      </c>
      <c r="G1022" s="27">
        <f>VLOOKUP(A1022,'[1]saldos al 26May26'!$C$2:$I$1010,7,FALSE)</f>
        <v>-1135.98</v>
      </c>
      <c r="H1022" s="27"/>
      <c r="I1022" s="28"/>
      <c r="J1022" s="29">
        <v>81270.503960346003</v>
      </c>
      <c r="K1022" s="25" t="s">
        <v>40</v>
      </c>
      <c r="L1022" s="25" t="s">
        <v>30</v>
      </c>
      <c r="M1022" s="25" t="s">
        <v>55</v>
      </c>
      <c r="N1022" s="25" t="s">
        <v>67</v>
      </c>
      <c r="O1022" t="s">
        <v>67</v>
      </c>
      <c r="P1022" s="30">
        <v>400082.37</v>
      </c>
      <c r="Q1022" s="30">
        <v>456099.34</v>
      </c>
      <c r="R1022" s="30"/>
      <c r="S1022" s="30" t="e">
        <v>#N/A</v>
      </c>
      <c r="T1022" t="s">
        <v>34</v>
      </c>
      <c r="U1022" s="31" t="e">
        <v>#N/A</v>
      </c>
      <c r="V1022" t="s">
        <v>34</v>
      </c>
      <c r="Y1022" t="e">
        <f>VLOOKUP(A1022,[2]!PRGX[[#All],[Proveedor]],1,FALSE)</f>
        <v>#REF!</v>
      </c>
    </row>
    <row r="1023" spans="1:26" x14ac:dyDescent="0.25">
      <c r="A1023" s="25">
        <v>469</v>
      </c>
      <c r="B1023" s="25" t="s">
        <v>1044</v>
      </c>
      <c r="C1023" s="26">
        <v>155</v>
      </c>
      <c r="D1023" s="27">
        <v>8578812.2699999996</v>
      </c>
      <c r="E1023" s="27">
        <v>6650440.1599999992</v>
      </c>
      <c r="F1023" s="27">
        <v>1928372.11</v>
      </c>
      <c r="G1023" s="27">
        <f>VLOOKUP(A1023,'[1]saldos al 26May26'!$C$2:$I$1010,7,FALSE)</f>
        <v>-470368.34</v>
      </c>
      <c r="H1023" s="27"/>
      <c r="I1023" s="28"/>
      <c r="J1023" s="29">
        <v>123881.66738519841</v>
      </c>
      <c r="K1023" s="25" t="s">
        <v>40</v>
      </c>
      <c r="L1023" s="25" t="s">
        <v>30</v>
      </c>
      <c r="M1023" s="25" t="s">
        <v>55</v>
      </c>
      <c r="N1023" s="25" t="s">
        <v>38</v>
      </c>
      <c r="O1023" t="s">
        <v>38</v>
      </c>
      <c r="P1023" s="32">
        <v>-994.63</v>
      </c>
      <c r="Q1023" s="30">
        <v>0</v>
      </c>
      <c r="R1023" s="30"/>
      <c r="S1023" s="30" t="s">
        <v>63</v>
      </c>
      <c r="T1023" s="57" t="s">
        <v>33</v>
      </c>
      <c r="U1023" s="31" t="s">
        <v>33</v>
      </c>
      <c r="V1023" t="s">
        <v>33</v>
      </c>
      <c r="Y1023" t="e">
        <f>VLOOKUP(A1023,[2]!PRGX[[#All],[Proveedor]],1,FALSE)</f>
        <v>#REF!</v>
      </c>
    </row>
    <row r="1024" spans="1:26" x14ac:dyDescent="0.25">
      <c r="A1024" s="25">
        <v>25128</v>
      </c>
      <c r="B1024" s="25" t="s">
        <v>1045</v>
      </c>
      <c r="C1024" s="26">
        <v>930</v>
      </c>
      <c r="D1024" s="27">
        <v>8277352.9500000002</v>
      </c>
      <c r="E1024" s="27">
        <v>3638424.0300000003</v>
      </c>
      <c r="F1024" s="27">
        <v>4638928.92</v>
      </c>
      <c r="G1024" s="27">
        <f>VLOOKUP(A1024,'[1]saldos al 26May26'!$C$2:$I$1010,7,FALSE)</f>
        <v>-2497950.83</v>
      </c>
      <c r="H1024" s="27"/>
      <c r="I1024" s="28"/>
      <c r="J1024" s="29">
        <v>53737.469827455003</v>
      </c>
      <c r="K1024" s="25" t="s">
        <v>40</v>
      </c>
      <c r="L1024" s="25" t="s">
        <v>30</v>
      </c>
      <c r="M1024" s="25" t="s">
        <v>31</v>
      </c>
      <c r="N1024" s="25" t="s">
        <v>70</v>
      </c>
      <c r="O1024" t="s">
        <v>70</v>
      </c>
      <c r="P1024" s="30">
        <v>0</v>
      </c>
      <c r="Q1024" s="30">
        <v>0</v>
      </c>
      <c r="R1024" s="30">
        <v>26376</v>
      </c>
      <c r="S1024" s="30" t="e">
        <v>#N/A</v>
      </c>
      <c r="T1024" t="s">
        <v>34</v>
      </c>
      <c r="U1024" s="31" t="e">
        <v>#N/A</v>
      </c>
      <c r="V1024" t="s">
        <v>34</v>
      </c>
      <c r="Y1024" t="e">
        <f>VLOOKUP(A1024,[2]!PRGX[[#All],[Proveedor]],1,FALSE)</f>
        <v>#REF!</v>
      </c>
    </row>
    <row r="1025" spans="1:26" x14ac:dyDescent="0.25">
      <c r="A1025" s="25">
        <v>312132</v>
      </c>
      <c r="B1025" s="25" t="s">
        <v>1046</v>
      </c>
      <c r="C1025" s="26">
        <v>576</v>
      </c>
      <c r="D1025" s="27">
        <v>8140529.04</v>
      </c>
      <c r="E1025" s="27">
        <v>2815519.8</v>
      </c>
      <c r="F1025" s="27">
        <v>5325009.24</v>
      </c>
      <c r="G1025" s="27">
        <f>VLOOKUP(A1025,'[1]saldos al 26May26'!$C$2:$I$1010,7,FALSE)</f>
        <v>0.02</v>
      </c>
      <c r="H1025" s="39" t="s">
        <v>54</v>
      </c>
      <c r="I1025" s="28"/>
      <c r="J1025" s="29">
        <v>471300.346360125</v>
      </c>
      <c r="K1025" s="25" t="s">
        <v>40</v>
      </c>
      <c r="L1025" s="25" t="s">
        <v>30</v>
      </c>
      <c r="M1025" s="36" t="s">
        <v>55</v>
      </c>
      <c r="N1025" s="25" t="s">
        <v>41</v>
      </c>
      <c r="O1025" t="s">
        <v>41</v>
      </c>
      <c r="P1025" s="30">
        <v>0</v>
      </c>
      <c r="Q1025" s="30">
        <v>0</v>
      </c>
      <c r="R1025" s="30"/>
      <c r="S1025" s="30" t="e">
        <v>#N/A</v>
      </c>
      <c r="T1025" t="s">
        <v>34</v>
      </c>
      <c r="U1025" s="31" t="e">
        <v>#N/A</v>
      </c>
      <c r="V1025" t="s">
        <v>34</v>
      </c>
      <c r="Y1025" t="e">
        <f>VLOOKUP(A1025,[2]!PRGX[[#All],[Proveedor]],1,FALSE)</f>
        <v>#REF!</v>
      </c>
    </row>
    <row r="1026" spans="1:26" x14ac:dyDescent="0.25">
      <c r="A1026" s="25">
        <v>305664</v>
      </c>
      <c r="B1026" s="25" t="s">
        <v>1047</v>
      </c>
      <c r="C1026" s="26">
        <v>1501</v>
      </c>
      <c r="D1026" s="27">
        <v>8060793.3200000003</v>
      </c>
      <c r="E1026" s="27">
        <v>6154489.7400000002</v>
      </c>
      <c r="F1026" s="27">
        <v>1906303.58</v>
      </c>
      <c r="G1026" s="27">
        <f>VLOOKUP(A1026,'[1]saldos al 26May26'!$C$2:$I$1010,7,FALSE)</f>
        <v>-133317.15</v>
      </c>
      <c r="H1026" s="27"/>
      <c r="I1026" s="28"/>
      <c r="J1026" s="29">
        <v>71829.424664702208</v>
      </c>
      <c r="K1026" s="25" t="s">
        <v>40</v>
      </c>
      <c r="L1026" s="25" t="s">
        <v>30</v>
      </c>
      <c r="M1026" s="25" t="s">
        <v>55</v>
      </c>
      <c r="N1026" s="25" t="s">
        <v>96</v>
      </c>
      <c r="O1026" t="s">
        <v>96</v>
      </c>
      <c r="P1026" s="32">
        <v>-9801.5</v>
      </c>
      <c r="Q1026" s="30">
        <v>0</v>
      </c>
      <c r="R1026" s="30"/>
      <c r="S1026" s="30" t="e">
        <v>#N/A</v>
      </c>
      <c r="T1026" t="s">
        <v>34</v>
      </c>
      <c r="U1026" s="31" t="e">
        <v>#N/A</v>
      </c>
      <c r="V1026" t="s">
        <v>34</v>
      </c>
      <c r="Y1026" t="e">
        <f>VLOOKUP(A1026,[2]!PRGX[[#All],[Proveedor]],1,FALSE)</f>
        <v>#REF!</v>
      </c>
    </row>
    <row r="1027" spans="1:26" s="42" customFormat="1" x14ac:dyDescent="0.25">
      <c r="A1027" s="25">
        <v>383265</v>
      </c>
      <c r="B1027" s="25" t="s">
        <v>1048</v>
      </c>
      <c r="C1027" s="26">
        <v>427</v>
      </c>
      <c r="D1027" s="27">
        <v>7597396.6799999997</v>
      </c>
      <c r="E1027" s="27">
        <v>1197463.3999999994</v>
      </c>
      <c r="F1027" s="27">
        <v>6399933.2800000003</v>
      </c>
      <c r="G1027" s="27">
        <f>VLOOKUP(A1027,'[1]saldos al 26May26'!$C$2:$I$1010,7,FALSE)</f>
        <v>-2581824.64</v>
      </c>
      <c r="H1027" s="27"/>
      <c r="I1027" s="28"/>
      <c r="J1027" s="29">
        <v>56845.845894999999</v>
      </c>
      <c r="K1027" s="25" t="s">
        <v>40</v>
      </c>
      <c r="L1027" s="25" t="s">
        <v>30</v>
      </c>
      <c r="M1027" s="25" t="s">
        <v>55</v>
      </c>
      <c r="N1027" s="25" t="s">
        <v>32</v>
      </c>
      <c r="O1027" t="s">
        <v>32</v>
      </c>
      <c r="P1027" s="30">
        <v>0</v>
      </c>
      <c r="Q1027" s="30">
        <v>0</v>
      </c>
      <c r="R1027" s="30"/>
      <c r="S1027" s="30" t="e">
        <v>#N/A</v>
      </c>
      <c r="T1027" t="s">
        <v>34</v>
      </c>
      <c r="U1027" s="31" t="e">
        <v>#N/A</v>
      </c>
      <c r="V1027" t="s">
        <v>34</v>
      </c>
      <c r="W1027"/>
      <c r="Y1027" t="e">
        <f>VLOOKUP(A1027,[2]!PRGX[[#All],[Proveedor]],1,FALSE)</f>
        <v>#REF!</v>
      </c>
      <c r="Z1027"/>
    </row>
    <row r="1028" spans="1:26" x14ac:dyDescent="0.25">
      <c r="A1028" s="25">
        <v>23431</v>
      </c>
      <c r="B1028" s="25" t="s">
        <v>1049</v>
      </c>
      <c r="C1028" s="26">
        <v>1466</v>
      </c>
      <c r="D1028" s="27">
        <v>7304681.0700000003</v>
      </c>
      <c r="E1028" s="27">
        <v>5398234.75</v>
      </c>
      <c r="F1028" s="27">
        <v>1906446.32</v>
      </c>
      <c r="G1028" s="27">
        <f>VLOOKUP(A1028,'[1]saldos al 26May26'!$C$2:$I$1010,7,FALSE)</f>
        <v>-241161.75</v>
      </c>
      <c r="H1028" s="27"/>
      <c r="I1028" s="28"/>
      <c r="J1028" s="29">
        <v>162870.82972311461</v>
      </c>
      <c r="K1028" s="25" t="s">
        <v>40</v>
      </c>
      <c r="L1028" s="25" t="s">
        <v>30</v>
      </c>
      <c r="M1028" s="25" t="s">
        <v>31</v>
      </c>
      <c r="N1028" s="25" t="s">
        <v>80</v>
      </c>
      <c r="O1028" t="s">
        <v>80</v>
      </c>
      <c r="P1028" s="30">
        <v>0</v>
      </c>
      <c r="Q1028" s="30">
        <v>0</v>
      </c>
      <c r="R1028" s="30"/>
      <c r="S1028" s="30" t="e">
        <v>#N/A</v>
      </c>
      <c r="T1028" t="s">
        <v>34</v>
      </c>
      <c r="U1028" s="31" t="e">
        <v>#N/A</v>
      </c>
      <c r="V1028" t="s">
        <v>34</v>
      </c>
      <c r="Y1028" t="e">
        <f>VLOOKUP(A1028,[2]!PRGX[[#All],[Proveedor]],1,FALSE)</f>
        <v>#REF!</v>
      </c>
    </row>
    <row r="1029" spans="1:26" x14ac:dyDescent="0.25">
      <c r="A1029" s="25">
        <v>327775</v>
      </c>
      <c r="B1029" s="25" t="s">
        <v>1050</v>
      </c>
      <c r="C1029" s="26">
        <v>1135</v>
      </c>
      <c r="D1029" s="27">
        <v>7210910</v>
      </c>
      <c r="E1029" s="27">
        <v>5798734</v>
      </c>
      <c r="F1029" s="27">
        <v>1412176</v>
      </c>
      <c r="G1029" s="27">
        <f>VLOOKUP(A1029,'[1]saldos al 26May26'!$C$2:$I$1010,7,FALSE)</f>
        <v>-110142.61</v>
      </c>
      <c r="H1029" s="27"/>
      <c r="I1029" s="28"/>
      <c r="J1029" s="29">
        <v>296309.60707430501</v>
      </c>
      <c r="K1029" s="25" t="s">
        <v>40</v>
      </c>
      <c r="L1029" s="25" t="s">
        <v>30</v>
      </c>
      <c r="M1029" s="25" t="s">
        <v>31</v>
      </c>
      <c r="N1029" s="25" t="s">
        <v>38</v>
      </c>
      <c r="O1029" t="s">
        <v>38</v>
      </c>
      <c r="P1029" s="32">
        <v>-7488</v>
      </c>
      <c r="Q1029" s="30">
        <v>0</v>
      </c>
      <c r="R1029" s="30"/>
      <c r="S1029" s="30" t="s">
        <v>63</v>
      </c>
      <c r="T1029" s="57" t="s">
        <v>33</v>
      </c>
      <c r="U1029" s="31" t="s">
        <v>33</v>
      </c>
      <c r="V1029" t="s">
        <v>33</v>
      </c>
      <c r="Y1029" t="e">
        <f>VLOOKUP(A1029,[2]!PRGX[[#All],[Proveedor]],1,FALSE)</f>
        <v>#REF!</v>
      </c>
    </row>
    <row r="1030" spans="1:26" x14ac:dyDescent="0.25">
      <c r="A1030" s="25">
        <v>23744</v>
      </c>
      <c r="B1030" s="25" t="s">
        <v>1051</v>
      </c>
      <c r="C1030" s="26">
        <v>1692</v>
      </c>
      <c r="D1030" s="27">
        <v>6745048.4100000001</v>
      </c>
      <c r="E1030" s="27">
        <v>3976438.3600000003</v>
      </c>
      <c r="F1030" s="27">
        <v>2768610.05</v>
      </c>
      <c r="G1030" s="27">
        <f>VLOOKUP(A1030,'[1]saldos al 26May26'!$C$2:$I$1010,7,FALSE)</f>
        <v>108789.46</v>
      </c>
      <c r="H1030" s="39" t="s">
        <v>54</v>
      </c>
      <c r="I1030" s="28"/>
      <c r="J1030" s="29">
        <v>663157.53942383954</v>
      </c>
      <c r="K1030" s="25" t="s">
        <v>40</v>
      </c>
      <c r="L1030" s="25" t="s">
        <v>30</v>
      </c>
      <c r="M1030" s="36" t="s">
        <v>55</v>
      </c>
      <c r="N1030" s="25" t="s">
        <v>45</v>
      </c>
      <c r="O1030" t="s">
        <v>45</v>
      </c>
      <c r="P1030" s="32">
        <v>-1577.69</v>
      </c>
      <c r="Q1030" s="30">
        <v>0</v>
      </c>
      <c r="R1030" s="30"/>
      <c r="S1030" s="30" t="e">
        <v>#N/A</v>
      </c>
      <c r="T1030" t="s">
        <v>34</v>
      </c>
      <c r="U1030" s="31" t="e">
        <v>#N/A</v>
      </c>
      <c r="V1030" t="s">
        <v>34</v>
      </c>
      <c r="Y1030" t="e">
        <f>VLOOKUP(A1030,[2]!PRGX[[#All],[Proveedor]],1,FALSE)</f>
        <v>#REF!</v>
      </c>
    </row>
    <row r="1031" spans="1:26" x14ac:dyDescent="0.25">
      <c r="A1031" s="25">
        <v>25068</v>
      </c>
      <c r="B1031" s="25" t="s">
        <v>1052</v>
      </c>
      <c r="C1031" s="26">
        <v>49</v>
      </c>
      <c r="D1031" s="27">
        <v>6744282</v>
      </c>
      <c r="E1031" s="27">
        <v>4199778</v>
      </c>
      <c r="F1031" s="27">
        <v>2544504</v>
      </c>
      <c r="G1031" s="27">
        <f>VLOOKUP(A1031,'[1]saldos al 26May26'!$C$2:$I$1010,7,FALSE)</f>
        <v>-340043.05</v>
      </c>
      <c r="H1031" s="27"/>
      <c r="I1031" s="28"/>
      <c r="J1031" s="29">
        <v>57797.089446262493</v>
      </c>
      <c r="K1031" s="25" t="s">
        <v>40</v>
      </c>
      <c r="L1031" s="25" t="s">
        <v>30</v>
      </c>
      <c r="M1031" s="25" t="s">
        <v>55</v>
      </c>
      <c r="N1031" s="25" t="s">
        <v>45</v>
      </c>
      <c r="O1031" t="s">
        <v>45</v>
      </c>
      <c r="Q1031" s="30"/>
      <c r="R1031" s="30"/>
      <c r="S1031" s="30" t="e">
        <v>#N/A</v>
      </c>
      <c r="T1031" t="s">
        <v>34</v>
      </c>
      <c r="U1031" s="31" t="e">
        <v>#N/A</v>
      </c>
      <c r="V1031" t="s">
        <v>34</v>
      </c>
      <c r="Y1031" t="e">
        <f>VLOOKUP(A1031,[2]!PRGX[[#All],[Proveedor]],1,FALSE)</f>
        <v>#REF!</v>
      </c>
    </row>
    <row r="1032" spans="1:26" x14ac:dyDescent="0.25">
      <c r="A1032" s="25">
        <v>20777</v>
      </c>
      <c r="B1032" s="25" t="s">
        <v>1053</v>
      </c>
      <c r="C1032" s="26">
        <v>4081</v>
      </c>
      <c r="D1032" s="27">
        <v>6434181.0199999996</v>
      </c>
      <c r="E1032" s="27">
        <v>5546358.1599999992</v>
      </c>
      <c r="F1032" s="27">
        <v>887822.86</v>
      </c>
      <c r="G1032" s="27">
        <f>VLOOKUP(A1032,'[1]saldos al 26May26'!$C$2:$I$1010,7,FALSE)</f>
        <v>32299.75</v>
      </c>
      <c r="H1032" s="39" t="s">
        <v>54</v>
      </c>
      <c r="I1032" s="28"/>
      <c r="J1032" s="29">
        <v>58662.960247090996</v>
      </c>
      <c r="K1032" s="25" t="s">
        <v>40</v>
      </c>
      <c r="L1032" s="25" t="s">
        <v>30</v>
      </c>
      <c r="M1032" s="25" t="s">
        <v>55</v>
      </c>
      <c r="N1032" s="25" t="s">
        <v>70</v>
      </c>
      <c r="O1032" t="s">
        <v>70</v>
      </c>
      <c r="P1032" s="30">
        <v>1494062.87</v>
      </c>
      <c r="Q1032" s="30">
        <v>0</v>
      </c>
      <c r="R1032" s="30"/>
      <c r="S1032" s="30" t="e">
        <v>#N/A</v>
      </c>
      <c r="T1032" t="s">
        <v>34</v>
      </c>
      <c r="U1032" s="31" t="e">
        <v>#N/A</v>
      </c>
      <c r="V1032" t="s">
        <v>34</v>
      </c>
      <c r="Y1032" t="e">
        <f>VLOOKUP(A1032,[2]!PRGX[[#All],[Proveedor]],1,FALSE)</f>
        <v>#REF!</v>
      </c>
    </row>
    <row r="1033" spans="1:26" x14ac:dyDescent="0.25">
      <c r="A1033" s="25">
        <v>23889</v>
      </c>
      <c r="B1033" s="25" t="s">
        <v>1054</v>
      </c>
      <c r="C1033" s="26">
        <v>1902</v>
      </c>
      <c r="D1033" s="27">
        <v>6022811</v>
      </c>
      <c r="E1033" s="27">
        <v>4291331</v>
      </c>
      <c r="F1033" s="27">
        <v>1731480</v>
      </c>
      <c r="G1033" s="27">
        <f>VLOOKUP(A1033,'[1]saldos al 26May26'!$C$2:$I$1010,7,FALSE)</f>
        <v>-424491.84</v>
      </c>
      <c r="H1033" s="27"/>
      <c r="I1033" s="28"/>
      <c r="J1033" s="29">
        <v>219508.48261218352</v>
      </c>
      <c r="K1033" s="25" t="s">
        <v>40</v>
      </c>
      <c r="L1033" s="25" t="s">
        <v>30</v>
      </c>
      <c r="M1033" s="25" t="s">
        <v>31</v>
      </c>
      <c r="N1033" s="25" t="s">
        <v>36</v>
      </c>
      <c r="O1033" t="s">
        <v>36</v>
      </c>
      <c r="P1033" s="32">
        <v>-402970.68</v>
      </c>
      <c r="Q1033" s="30">
        <v>0</v>
      </c>
      <c r="R1033" s="30"/>
      <c r="S1033" s="30" t="e">
        <v>#N/A</v>
      </c>
      <c r="T1033" t="s">
        <v>34</v>
      </c>
      <c r="U1033" s="31" t="e">
        <v>#N/A</v>
      </c>
      <c r="V1033" t="s">
        <v>34</v>
      </c>
      <c r="Y1033" t="e">
        <f>VLOOKUP(A1033,[2]!PRGX[[#All],[Proveedor]],1,FALSE)</f>
        <v>#REF!</v>
      </c>
    </row>
    <row r="1034" spans="1:26" x14ac:dyDescent="0.25">
      <c r="A1034" s="25">
        <v>250148</v>
      </c>
      <c r="B1034" s="25" t="s">
        <v>1055</v>
      </c>
      <c r="C1034" s="26">
        <v>46</v>
      </c>
      <c r="D1034" s="27">
        <v>5924450.7999999998</v>
      </c>
      <c r="E1034" s="27">
        <v>4191950.8</v>
      </c>
      <c r="F1034" s="27">
        <v>1732500</v>
      </c>
      <c r="G1034" s="27">
        <f>VLOOKUP(A1034,'[1]saldos al 26May26'!$C$2:$I$1010,7,FALSE)</f>
        <v>1740</v>
      </c>
      <c r="H1034" s="39" t="s">
        <v>54</v>
      </c>
      <c r="I1034" s="28"/>
      <c r="J1034" s="29">
        <v>69326.638286579997</v>
      </c>
      <c r="K1034" s="25" t="s">
        <v>40</v>
      </c>
      <c r="L1034" s="25" t="s">
        <v>30</v>
      </c>
      <c r="M1034" s="25" t="s">
        <v>55</v>
      </c>
      <c r="N1034" s="25" t="s">
        <v>32</v>
      </c>
      <c r="O1034" t="s">
        <v>32</v>
      </c>
      <c r="P1034" s="32">
        <v>-49997.16</v>
      </c>
      <c r="Q1034" s="30">
        <v>994328.8</v>
      </c>
      <c r="R1034" s="30"/>
      <c r="S1034" s="30" t="e">
        <v>#N/A</v>
      </c>
      <c r="T1034" t="s">
        <v>34</v>
      </c>
      <c r="U1034" s="31" t="e">
        <v>#N/A</v>
      </c>
      <c r="V1034" t="s">
        <v>34</v>
      </c>
      <c r="Y1034" t="e">
        <f>VLOOKUP(A1034,[2]!PRGX[[#All],[Proveedor]],1,FALSE)</f>
        <v>#REF!</v>
      </c>
    </row>
    <row r="1035" spans="1:26" x14ac:dyDescent="0.25">
      <c r="A1035" s="25">
        <v>24656</v>
      </c>
      <c r="B1035" s="25" t="s">
        <v>1056</v>
      </c>
      <c r="C1035" s="26">
        <v>61</v>
      </c>
      <c r="D1035" s="27">
        <v>5791860</v>
      </c>
      <c r="E1035" s="27">
        <v>3266820</v>
      </c>
      <c r="F1035" s="27">
        <v>2525040</v>
      </c>
      <c r="G1035" s="27">
        <f>VLOOKUP(A1035,'[1]saldos al 26May26'!$C$2:$I$1010,7,FALSE)</f>
        <v>-1124341.6000000001</v>
      </c>
      <c r="H1035" s="27"/>
      <c r="I1035" s="28"/>
      <c r="J1035" s="29">
        <v>96316.821107519994</v>
      </c>
      <c r="K1035" s="25" t="s">
        <v>40</v>
      </c>
      <c r="L1035" s="25" t="s">
        <v>30</v>
      </c>
      <c r="M1035" s="25" t="s">
        <v>31</v>
      </c>
      <c r="N1035" s="25" t="s">
        <v>36</v>
      </c>
      <c r="O1035" t="s">
        <v>36</v>
      </c>
      <c r="P1035" s="30">
        <v>0</v>
      </c>
      <c r="Q1035" s="30">
        <v>0</v>
      </c>
      <c r="R1035" s="30"/>
      <c r="S1035" s="30" t="s">
        <v>63</v>
      </c>
      <c r="T1035" s="57" t="s">
        <v>33</v>
      </c>
      <c r="U1035" s="31" t="s">
        <v>33</v>
      </c>
      <c r="V1035" t="s">
        <v>33</v>
      </c>
      <c r="Y1035" t="e">
        <f>VLOOKUP(A1035,[2]!PRGX[[#All],[Proveedor]],1,FALSE)</f>
        <v>#REF!</v>
      </c>
    </row>
    <row r="1036" spans="1:26" x14ac:dyDescent="0.25">
      <c r="A1036" s="36">
        <v>500802</v>
      </c>
      <c r="B1036" s="36" t="s">
        <v>1057</v>
      </c>
      <c r="C1036" s="37">
        <v>307</v>
      </c>
      <c r="D1036" s="38">
        <v>5675358.8300000001</v>
      </c>
      <c r="E1036" s="38">
        <v>5066250.67</v>
      </c>
      <c r="F1036" s="38">
        <v>609108.16</v>
      </c>
      <c r="G1036" s="38" t="e">
        <f>VLOOKUP(A1036,'[1]saldos al 26May26'!$C$2:$I$1010,7,FALSE)</f>
        <v>#N/A</v>
      </c>
      <c r="H1036" s="39" t="s">
        <v>54</v>
      </c>
      <c r="I1036" s="40" t="s">
        <v>27</v>
      </c>
      <c r="J1036" s="41"/>
      <c r="K1036" s="36" t="s">
        <v>29</v>
      </c>
      <c r="L1036" s="36" t="s">
        <v>30</v>
      </c>
      <c r="M1036" s="36" t="s">
        <v>55</v>
      </c>
      <c r="N1036" s="25"/>
      <c r="O1036" s="42" t="s">
        <v>80</v>
      </c>
      <c r="P1036" s="30">
        <v>0</v>
      </c>
      <c r="Q1036" s="30">
        <v>88297.99</v>
      </c>
      <c r="R1036" s="30"/>
      <c r="S1036" s="30" t="s">
        <v>33</v>
      </c>
      <c r="T1036" t="s">
        <v>33</v>
      </c>
      <c r="U1036" s="31" t="e">
        <v>#N/A</v>
      </c>
      <c r="V1036" t="s">
        <v>34</v>
      </c>
      <c r="W1036" s="42"/>
      <c r="Y1036" t="e">
        <f>VLOOKUP(A1036,[2]!PRGX[[#All],[Proveedor]],1,FALSE)</f>
        <v>#REF!</v>
      </c>
      <c r="Z1036">
        <v>500802</v>
      </c>
    </row>
    <row r="1037" spans="1:26" x14ac:dyDescent="0.25">
      <c r="A1037" s="25">
        <v>24786</v>
      </c>
      <c r="B1037" s="25" t="s">
        <v>1058</v>
      </c>
      <c r="C1037" s="26">
        <v>7321</v>
      </c>
      <c r="D1037" s="27">
        <v>5437442</v>
      </c>
      <c r="E1037" s="27">
        <v>3167448</v>
      </c>
      <c r="F1037" s="27">
        <v>2269994</v>
      </c>
      <c r="G1037" s="27">
        <f>VLOOKUP(A1037,'[1]saldos al 26May26'!$C$2:$I$1010,7,FALSE)</f>
        <v>-589620.42000000004</v>
      </c>
      <c r="H1037" s="27"/>
      <c r="I1037" s="28"/>
      <c r="J1037" s="29">
        <v>379889.92859047046</v>
      </c>
      <c r="K1037" s="25" t="s">
        <v>40</v>
      </c>
      <c r="L1037" s="25" t="s">
        <v>30</v>
      </c>
      <c r="M1037" s="25" t="s">
        <v>50</v>
      </c>
      <c r="N1037" s="25" t="s">
        <v>38</v>
      </c>
      <c r="O1037" t="s">
        <v>38</v>
      </c>
      <c r="P1037" s="32">
        <v>-11992</v>
      </c>
      <c r="Q1037" s="30">
        <v>0</v>
      </c>
      <c r="R1037" s="30">
        <v>64917</v>
      </c>
      <c r="S1037" s="30" t="s">
        <v>63</v>
      </c>
      <c r="T1037" s="57" t="s">
        <v>33</v>
      </c>
      <c r="U1037" s="31" t="s">
        <v>33</v>
      </c>
      <c r="V1037" t="s">
        <v>33</v>
      </c>
      <c r="Y1037" t="e">
        <f>VLOOKUP(A1037,[2]!PRGX[[#All],[Proveedor]],1,FALSE)</f>
        <v>#REF!</v>
      </c>
    </row>
    <row r="1038" spans="1:26" x14ac:dyDescent="0.25">
      <c r="A1038" s="36">
        <v>19313</v>
      </c>
      <c r="B1038" s="36" t="s">
        <v>1059</v>
      </c>
      <c r="C1038" s="37">
        <v>18</v>
      </c>
      <c r="D1038" s="38">
        <v>4990994</v>
      </c>
      <c r="E1038" s="38">
        <v>4416914</v>
      </c>
      <c r="F1038" s="38">
        <v>574080</v>
      </c>
      <c r="G1038" s="38" t="e">
        <f>VLOOKUP(A1038,'[1]saldos al 26May26'!$C$2:$I$1010,7,FALSE)</f>
        <v>#N/A</v>
      </c>
      <c r="H1038" s="39" t="s">
        <v>54</v>
      </c>
      <c r="I1038" s="40"/>
      <c r="J1038" s="41">
        <v>37298.06</v>
      </c>
      <c r="K1038" s="36" t="s">
        <v>40</v>
      </c>
      <c r="L1038" s="36" t="s">
        <v>30</v>
      </c>
      <c r="M1038" s="36" t="s">
        <v>55</v>
      </c>
      <c r="N1038" s="25" t="s">
        <v>38</v>
      </c>
      <c r="O1038" s="42" t="s">
        <v>38</v>
      </c>
      <c r="P1038" s="30">
        <v>0</v>
      </c>
      <c r="Q1038" s="30">
        <v>0</v>
      </c>
      <c r="R1038" s="30">
        <v>12755</v>
      </c>
      <c r="S1038" s="30" t="e">
        <v>#N/A</v>
      </c>
      <c r="T1038" t="s">
        <v>34</v>
      </c>
      <c r="U1038" s="31" t="e">
        <v>#N/A</v>
      </c>
      <c r="V1038" t="s">
        <v>34</v>
      </c>
      <c r="W1038" s="42"/>
      <c r="Y1038" t="e">
        <f>VLOOKUP(A1038,[2]!PRGX[[#All],[Proveedor]],1,FALSE)</f>
        <v>#REF!</v>
      </c>
    </row>
    <row r="1039" spans="1:26" x14ac:dyDescent="0.25">
      <c r="A1039" s="25">
        <v>23243</v>
      </c>
      <c r="B1039" s="25" t="s">
        <v>620</v>
      </c>
      <c r="C1039" s="26">
        <v>1683</v>
      </c>
      <c r="D1039" s="27">
        <v>4891087.5999999996</v>
      </c>
      <c r="E1039" s="27">
        <v>4317612.5999999996</v>
      </c>
      <c r="F1039" s="27">
        <v>573475</v>
      </c>
      <c r="G1039" s="27">
        <f>VLOOKUP(A1039,'[1]saldos al 26May26'!$C$2:$I$1010,7,FALSE)</f>
        <v>112</v>
      </c>
      <c r="H1039" s="39" t="s">
        <v>54</v>
      </c>
      <c r="I1039" s="28"/>
      <c r="J1039" s="29">
        <v>259037.55506871146</v>
      </c>
      <c r="K1039" s="25" t="s">
        <v>40</v>
      </c>
      <c r="L1039" s="25" t="s">
        <v>30</v>
      </c>
      <c r="M1039" s="36" t="s">
        <v>55</v>
      </c>
      <c r="N1039" s="25" t="s">
        <v>38</v>
      </c>
      <c r="O1039" t="s">
        <v>38</v>
      </c>
      <c r="P1039" s="30">
        <v>0</v>
      </c>
      <c r="Q1039" s="30">
        <v>0</v>
      </c>
      <c r="R1039" s="30"/>
      <c r="S1039" s="30" t="e">
        <v>#N/A</v>
      </c>
      <c r="T1039" t="s">
        <v>34</v>
      </c>
      <c r="U1039" s="31" t="e">
        <v>#N/A</v>
      </c>
      <c r="V1039" t="s">
        <v>34</v>
      </c>
      <c r="Y1039" t="e">
        <f>VLOOKUP(A1039,[2]!PRGX[[#All],[Proveedor]],1,FALSE)</f>
        <v>#REF!</v>
      </c>
    </row>
    <row r="1040" spans="1:26" x14ac:dyDescent="0.25">
      <c r="A1040" s="25">
        <v>303428</v>
      </c>
      <c r="B1040" s="25" t="s">
        <v>1060</v>
      </c>
      <c r="C1040" s="26">
        <v>1910</v>
      </c>
      <c r="D1040" s="27">
        <v>4866280.5599999996</v>
      </c>
      <c r="E1040" s="27">
        <v>4677449.5599999996</v>
      </c>
      <c r="F1040" s="27">
        <v>188831</v>
      </c>
      <c r="G1040" s="27">
        <f>VLOOKUP(A1040,'[1]saldos al 26May26'!$C$2:$I$1010,7,FALSE)</f>
        <v>609.88</v>
      </c>
      <c r="H1040" s="39" t="s">
        <v>54</v>
      </c>
      <c r="I1040" s="28"/>
      <c r="J1040" s="29">
        <v>130619.55731278799</v>
      </c>
      <c r="K1040" s="25" t="s">
        <v>40</v>
      </c>
      <c r="L1040" s="25" t="s">
        <v>30</v>
      </c>
      <c r="M1040" s="25" t="s">
        <v>55</v>
      </c>
      <c r="N1040" s="25" t="s">
        <v>87</v>
      </c>
      <c r="O1040" t="s">
        <v>87</v>
      </c>
      <c r="P1040" s="30">
        <v>4988.24</v>
      </c>
      <c r="Q1040" s="30">
        <v>0</v>
      </c>
      <c r="R1040" s="30"/>
      <c r="S1040" s="30" t="e">
        <v>#N/A</v>
      </c>
      <c r="T1040" t="s">
        <v>34</v>
      </c>
      <c r="U1040" s="31" t="e">
        <v>#N/A</v>
      </c>
      <c r="V1040" t="s">
        <v>34</v>
      </c>
      <c r="Y1040" t="e">
        <f>VLOOKUP(A1040,[2]!PRGX[[#All],[Proveedor]],1,FALSE)</f>
        <v>#REF!</v>
      </c>
    </row>
    <row r="1041" spans="1:26" s="42" customFormat="1" x14ac:dyDescent="0.25">
      <c r="A1041" s="25">
        <v>304865</v>
      </c>
      <c r="B1041" s="25" t="s">
        <v>1061</v>
      </c>
      <c r="C1041" s="26">
        <v>15</v>
      </c>
      <c r="D1041" s="27">
        <v>4678644</v>
      </c>
      <c r="E1041" s="27">
        <v>4209140.4000000004</v>
      </c>
      <c r="F1041" s="27">
        <v>469503.6</v>
      </c>
      <c r="G1041" s="27">
        <f>VLOOKUP(A1041,'[1]saldos al 26May26'!$C$2:$I$1010,7,FALSE)</f>
        <v>-17485.36</v>
      </c>
      <c r="H1041" s="27"/>
      <c r="I1041" s="28"/>
      <c r="J1041" s="29">
        <v>210494.73</v>
      </c>
      <c r="K1041" s="25" t="s">
        <v>40</v>
      </c>
      <c r="L1041" s="25" t="s">
        <v>30</v>
      </c>
      <c r="M1041" s="25" t="s">
        <v>31</v>
      </c>
      <c r="N1041" s="25" t="s">
        <v>32</v>
      </c>
      <c r="O1041" t="s">
        <v>32</v>
      </c>
      <c r="P1041" s="32">
        <v>-61917.55</v>
      </c>
      <c r="Q1041" s="30">
        <v>0</v>
      </c>
      <c r="R1041" s="30"/>
      <c r="S1041" s="30" t="e">
        <v>#N/A</v>
      </c>
      <c r="T1041" t="s">
        <v>34</v>
      </c>
      <c r="U1041" s="31" t="e">
        <v>#N/A</v>
      </c>
      <c r="V1041" t="s">
        <v>34</v>
      </c>
      <c r="W1041"/>
      <c r="Y1041" t="e">
        <f>VLOOKUP(A1041,[2]!PRGX[[#All],[Proveedor]],1,FALSE)</f>
        <v>#REF!</v>
      </c>
      <c r="Z1041"/>
    </row>
    <row r="1042" spans="1:26" s="42" customFormat="1" x14ac:dyDescent="0.25">
      <c r="A1042" s="36">
        <v>313460</v>
      </c>
      <c r="B1042" s="36" t="s">
        <v>1062</v>
      </c>
      <c r="C1042" s="37">
        <v>470</v>
      </c>
      <c r="D1042" s="38">
        <v>4311575.32</v>
      </c>
      <c r="E1042" s="38">
        <v>4085014.6900000004</v>
      </c>
      <c r="F1042" s="38">
        <v>226560.63</v>
      </c>
      <c r="G1042" s="38" t="e">
        <f>VLOOKUP(A1042,'[1]saldos al 26May26'!$C$2:$I$1010,7,FALSE)</f>
        <v>#N/A</v>
      </c>
      <c r="H1042" s="39" t="s">
        <v>54</v>
      </c>
      <c r="I1042" s="40"/>
      <c r="J1042" s="41"/>
      <c r="K1042" s="36" t="s">
        <v>29</v>
      </c>
      <c r="L1042" s="36" t="s">
        <v>30</v>
      </c>
      <c r="M1042" s="36" t="s">
        <v>55</v>
      </c>
      <c r="N1042" s="25"/>
      <c r="O1042" s="42" t="s">
        <v>51</v>
      </c>
      <c r="P1042" s="32">
        <v>-4682.46</v>
      </c>
      <c r="Q1042" s="30">
        <v>0</v>
      </c>
      <c r="R1042" s="30"/>
      <c r="S1042" s="30" t="s">
        <v>63</v>
      </c>
      <c r="T1042" t="s">
        <v>33</v>
      </c>
      <c r="U1042" s="31" t="e">
        <v>#N/A</v>
      </c>
      <c r="V1042" t="s">
        <v>34</v>
      </c>
      <c r="Y1042" t="e">
        <f>VLOOKUP(A1042,[2]!PRGX[[#All],[Proveedor]],1,FALSE)</f>
        <v>#REF!</v>
      </c>
      <c r="Z1042"/>
    </row>
    <row r="1043" spans="1:26" x14ac:dyDescent="0.25">
      <c r="A1043" s="25">
        <v>300657</v>
      </c>
      <c r="B1043" s="25" t="s">
        <v>1063</v>
      </c>
      <c r="C1043" s="26">
        <v>48</v>
      </c>
      <c r="D1043" s="27">
        <v>4091153.2</v>
      </c>
      <c r="E1043" s="27">
        <v>3439703.2</v>
      </c>
      <c r="F1043" s="27">
        <v>651450</v>
      </c>
      <c r="G1043" s="27">
        <f>VLOOKUP(A1043,'[1]saldos al 26May26'!$C$2:$I$1010,7,FALSE)</f>
        <v>-343635.56</v>
      </c>
      <c r="H1043" s="27"/>
      <c r="I1043" s="28"/>
      <c r="J1043" s="29">
        <v>229797.8782852536</v>
      </c>
      <c r="K1043" s="25" t="s">
        <v>40</v>
      </c>
      <c r="L1043" s="25" t="s">
        <v>30</v>
      </c>
      <c r="M1043" s="25" t="s">
        <v>31</v>
      </c>
      <c r="N1043" s="25" t="s">
        <v>32</v>
      </c>
      <c r="O1043" t="s">
        <v>32</v>
      </c>
      <c r="P1043" s="30">
        <v>0</v>
      </c>
      <c r="Q1043" s="30">
        <v>89886.31</v>
      </c>
      <c r="R1043" s="30"/>
      <c r="S1043" s="30" t="e">
        <v>#N/A</v>
      </c>
      <c r="T1043" t="s">
        <v>34</v>
      </c>
      <c r="U1043" s="31" t="e">
        <v>#N/A</v>
      </c>
      <c r="V1043" t="s">
        <v>34</v>
      </c>
      <c r="Y1043" t="e">
        <f>VLOOKUP(A1043,[2]!PRGX[[#All],[Proveedor]],1,FALSE)</f>
        <v>#REF!</v>
      </c>
    </row>
    <row r="1044" spans="1:26" x14ac:dyDescent="0.25">
      <c r="A1044" s="25">
        <v>23737</v>
      </c>
      <c r="B1044" s="25" t="s">
        <v>1064</v>
      </c>
      <c r="C1044" s="26">
        <v>4239</v>
      </c>
      <c r="D1044" s="27">
        <v>3953172</v>
      </c>
      <c r="E1044" s="27">
        <v>2678760</v>
      </c>
      <c r="F1044" s="27">
        <v>1274412</v>
      </c>
      <c r="G1044" s="27">
        <f>VLOOKUP(A1044,'[1]saldos al 26May26'!$C$2:$I$1010,7,FALSE)</f>
        <v>-605412</v>
      </c>
      <c r="H1044" s="27"/>
      <c r="I1044" s="28"/>
      <c r="J1044" s="29">
        <v>32514.713401590001</v>
      </c>
      <c r="K1044" s="25" t="s">
        <v>40</v>
      </c>
      <c r="L1044" s="25" t="s">
        <v>30</v>
      </c>
      <c r="M1044" s="25" t="s">
        <v>55</v>
      </c>
      <c r="N1044" s="25" t="s">
        <v>80</v>
      </c>
      <c r="O1044" t="s">
        <v>80</v>
      </c>
      <c r="P1044" s="32">
        <v>-16288.14</v>
      </c>
      <c r="Q1044" s="30">
        <v>0</v>
      </c>
      <c r="R1044" s="30">
        <v>67184</v>
      </c>
      <c r="S1044" s="30" t="e">
        <v>#N/A</v>
      </c>
      <c r="T1044" t="s">
        <v>34</v>
      </c>
      <c r="U1044" s="31" t="e">
        <v>#N/A</v>
      </c>
      <c r="V1044" t="s">
        <v>34</v>
      </c>
      <c r="Y1044" t="e">
        <f>VLOOKUP(A1044,[2]!PRGX[[#All],[Proveedor]],1,FALSE)</f>
        <v>#REF!</v>
      </c>
    </row>
    <row r="1045" spans="1:26" x14ac:dyDescent="0.25">
      <c r="A1045" s="25">
        <v>23372</v>
      </c>
      <c r="B1045" s="25" t="s">
        <v>1065</v>
      </c>
      <c r="C1045" s="26">
        <v>520</v>
      </c>
      <c r="D1045" s="27">
        <v>3915275</v>
      </c>
      <c r="E1045" s="27">
        <v>3402798</v>
      </c>
      <c r="F1045" s="27">
        <v>512477</v>
      </c>
      <c r="G1045" s="27">
        <f>VLOOKUP(A1045,'[1]saldos al 26May26'!$C$2:$I$1010,7,FALSE)</f>
        <v>-94384.49</v>
      </c>
      <c r="H1045" s="27"/>
      <c r="I1045" s="28"/>
      <c r="J1045" s="29">
        <v>144393.80449037897</v>
      </c>
      <c r="K1045" s="25" t="s">
        <v>40</v>
      </c>
      <c r="L1045" s="25" t="s">
        <v>30</v>
      </c>
      <c r="M1045" s="25" t="s">
        <v>31</v>
      </c>
      <c r="N1045" s="25" t="s">
        <v>41</v>
      </c>
      <c r="O1045" t="s">
        <v>41</v>
      </c>
      <c r="P1045" s="32">
        <v>-8113</v>
      </c>
      <c r="Q1045" s="30">
        <v>0</v>
      </c>
      <c r="R1045" s="30"/>
      <c r="S1045" s="30" t="s">
        <v>63</v>
      </c>
      <c r="T1045" s="57" t="s">
        <v>33</v>
      </c>
      <c r="U1045" s="31" t="s">
        <v>33</v>
      </c>
      <c r="V1045" t="s">
        <v>33</v>
      </c>
      <c r="Y1045" t="e">
        <f>VLOOKUP(A1045,[2]!PRGX[[#All],[Proveedor]],1,FALSE)</f>
        <v>#REF!</v>
      </c>
    </row>
    <row r="1046" spans="1:26" s="42" customFormat="1" x14ac:dyDescent="0.25">
      <c r="A1046" s="25">
        <v>24646</v>
      </c>
      <c r="B1046" s="25" t="s">
        <v>1066</v>
      </c>
      <c r="C1046" s="26">
        <v>567</v>
      </c>
      <c r="D1046" s="27">
        <v>3272531.14</v>
      </c>
      <c r="E1046" s="27">
        <v>1918335.6</v>
      </c>
      <c r="F1046" s="27">
        <v>1354195.54</v>
      </c>
      <c r="G1046" s="27">
        <f>VLOOKUP(A1046,'[1]saldos al 26May26'!$C$2:$I$1010,7,FALSE)</f>
        <v>-593341.24</v>
      </c>
      <c r="H1046" s="27"/>
      <c r="I1046" s="28"/>
      <c r="J1046" s="29">
        <v>34098.447609067996</v>
      </c>
      <c r="K1046" s="25" t="s">
        <v>40</v>
      </c>
      <c r="L1046" s="25" t="s">
        <v>30</v>
      </c>
      <c r="M1046" s="25" t="s">
        <v>55</v>
      </c>
      <c r="N1046" s="25" t="s">
        <v>67</v>
      </c>
      <c r="O1046" t="s">
        <v>67</v>
      </c>
      <c r="P1046" s="32">
        <v>-15094.2</v>
      </c>
      <c r="Q1046" s="30">
        <v>0</v>
      </c>
      <c r="R1046" s="30"/>
      <c r="S1046" s="30" t="e">
        <v>#N/A</v>
      </c>
      <c r="T1046" t="s">
        <v>34</v>
      </c>
      <c r="U1046" s="31" t="e">
        <v>#N/A</v>
      </c>
      <c r="V1046" t="s">
        <v>34</v>
      </c>
      <c r="W1046"/>
      <c r="Y1046" t="e">
        <f>VLOOKUP(A1046,[2]!PRGX[[#All],[Proveedor]],1,FALSE)</f>
        <v>#REF!</v>
      </c>
      <c r="Z1046"/>
    </row>
    <row r="1047" spans="1:26" x14ac:dyDescent="0.25">
      <c r="A1047" s="25">
        <v>394403</v>
      </c>
      <c r="B1047" s="25" t="s">
        <v>1067</v>
      </c>
      <c r="C1047" s="26">
        <v>481</v>
      </c>
      <c r="D1047" s="27">
        <v>2490714.54</v>
      </c>
      <c r="E1047" s="27">
        <v>2463033.34</v>
      </c>
      <c r="F1047" s="27">
        <v>27681.200000000001</v>
      </c>
      <c r="G1047" s="27">
        <f>VLOOKUP(A1047,'[1]saldos al 26May26'!$C$2:$I$1010,7,FALSE)</f>
        <v>5566.64</v>
      </c>
      <c r="H1047" s="39" t="s">
        <v>54</v>
      </c>
      <c r="I1047" s="28"/>
      <c r="J1047" s="29">
        <v>69697.984038779017</v>
      </c>
      <c r="K1047" s="25" t="s">
        <v>40</v>
      </c>
      <c r="L1047" s="25" t="s">
        <v>30</v>
      </c>
      <c r="M1047" s="25" t="s">
        <v>55</v>
      </c>
      <c r="N1047" s="25" t="s">
        <v>70</v>
      </c>
      <c r="O1047" t="s">
        <v>70</v>
      </c>
      <c r="P1047" s="32">
        <v>-2271.0500000000002</v>
      </c>
      <c r="Q1047" s="30">
        <v>0</v>
      </c>
      <c r="R1047" s="30"/>
      <c r="S1047" s="30" t="e">
        <v>#N/A</v>
      </c>
      <c r="T1047" t="s">
        <v>34</v>
      </c>
      <c r="U1047" s="31" t="e">
        <v>#N/A</v>
      </c>
      <c r="V1047" t="s">
        <v>34</v>
      </c>
      <c r="Y1047" t="e">
        <f>VLOOKUP(A1047,[2]!PRGX[[#All],[Proveedor]],1,FALSE)</f>
        <v>#REF!</v>
      </c>
    </row>
    <row r="1048" spans="1:26" x14ac:dyDescent="0.25">
      <c r="A1048" s="25">
        <v>23217</v>
      </c>
      <c r="B1048" s="25" t="s">
        <v>1068</v>
      </c>
      <c r="C1048" s="26">
        <v>211</v>
      </c>
      <c r="D1048" s="27">
        <v>2280768</v>
      </c>
      <c r="E1048" s="27">
        <v>1974468</v>
      </c>
      <c r="F1048" s="27">
        <v>306300</v>
      </c>
      <c r="G1048" s="27">
        <f>VLOOKUP(A1048,'[1]saldos al 26May26'!$C$2:$I$1010,7,FALSE)</f>
        <v>-242772.53</v>
      </c>
      <c r="H1048" s="27"/>
      <c r="I1048" s="28"/>
      <c r="J1048" s="29">
        <v>38586.454768848002</v>
      </c>
      <c r="K1048" s="25" t="s">
        <v>40</v>
      </c>
      <c r="L1048" s="25" t="s">
        <v>30</v>
      </c>
      <c r="M1048" s="25" t="s">
        <v>55</v>
      </c>
      <c r="N1048" s="25" t="s">
        <v>51</v>
      </c>
      <c r="O1048" t="s">
        <v>51</v>
      </c>
      <c r="P1048" s="30">
        <v>0</v>
      </c>
      <c r="Q1048" s="30">
        <v>0</v>
      </c>
      <c r="R1048" s="30"/>
      <c r="S1048" s="30" t="e">
        <v>#N/A</v>
      </c>
      <c r="T1048" t="s">
        <v>34</v>
      </c>
      <c r="U1048" s="31" t="e">
        <v>#N/A</v>
      </c>
      <c r="V1048" t="s">
        <v>34</v>
      </c>
      <c r="Y1048" t="e">
        <f>VLOOKUP(A1048,[2]!PRGX[[#All],[Proveedor]],1,FALSE)</f>
        <v>#REF!</v>
      </c>
    </row>
    <row r="1049" spans="1:26" x14ac:dyDescent="0.25">
      <c r="A1049" s="25">
        <v>24410</v>
      </c>
      <c r="B1049" s="25" t="s">
        <v>1069</v>
      </c>
      <c r="C1049" s="26">
        <v>246</v>
      </c>
      <c r="D1049" s="27">
        <v>2101782.4</v>
      </c>
      <c r="E1049" s="27">
        <v>1102430.7999999998</v>
      </c>
      <c r="F1049" s="27">
        <v>999351.6</v>
      </c>
      <c r="G1049" s="27">
        <f>VLOOKUP(A1049,'[1]saldos al 26May26'!$C$2:$I$1010,7,FALSE)</f>
        <v>-144420.34</v>
      </c>
      <c r="H1049" s="27"/>
      <c r="I1049" s="28"/>
      <c r="J1049" s="29">
        <v>104915.60128317399</v>
      </c>
      <c r="K1049" s="25" t="s">
        <v>40</v>
      </c>
      <c r="L1049" s="25" t="s">
        <v>30</v>
      </c>
      <c r="M1049" s="25" t="s">
        <v>55</v>
      </c>
      <c r="N1049" s="25" t="s">
        <v>87</v>
      </c>
      <c r="O1049" t="s">
        <v>87</v>
      </c>
      <c r="P1049" s="30">
        <v>0</v>
      </c>
      <c r="Q1049" s="30">
        <v>0</v>
      </c>
      <c r="R1049" s="30"/>
      <c r="S1049" s="30" t="e">
        <v>#N/A</v>
      </c>
      <c r="T1049" t="s">
        <v>34</v>
      </c>
      <c r="U1049" s="31" t="e">
        <v>#N/A</v>
      </c>
      <c r="V1049" t="s">
        <v>34</v>
      </c>
      <c r="Y1049" t="e">
        <f>VLOOKUP(A1049,[2]!PRGX[[#All],[Proveedor]],1,FALSE)</f>
        <v>#REF!</v>
      </c>
    </row>
    <row r="1050" spans="1:26" x14ac:dyDescent="0.25">
      <c r="A1050" s="25">
        <v>64675</v>
      </c>
      <c r="B1050" s="25" t="s">
        <v>1070</v>
      </c>
      <c r="C1050" s="26">
        <v>12</v>
      </c>
      <c r="D1050" s="27">
        <v>1964676.14</v>
      </c>
      <c r="E1050" s="27">
        <v>1220772.1399999999</v>
      </c>
      <c r="F1050" s="27">
        <v>743904</v>
      </c>
      <c r="G1050" s="27">
        <f>VLOOKUP(A1050,'[1]saldos al 26May26'!$C$2:$I$1010,7,FALSE)</f>
        <v>-536260.29</v>
      </c>
      <c r="H1050" s="27"/>
      <c r="I1050" s="28"/>
      <c r="J1050" s="29">
        <v>37178.503110095997</v>
      </c>
      <c r="K1050" s="25" t="s">
        <v>40</v>
      </c>
      <c r="L1050" s="25" t="s">
        <v>30</v>
      </c>
      <c r="M1050" s="25" t="s">
        <v>55</v>
      </c>
      <c r="N1050" s="25" t="s">
        <v>47</v>
      </c>
      <c r="O1050" t="s">
        <v>47</v>
      </c>
      <c r="P1050" s="30">
        <v>0</v>
      </c>
      <c r="Q1050" s="30">
        <v>0</v>
      </c>
      <c r="R1050" s="30">
        <v>72576</v>
      </c>
      <c r="S1050" s="30" t="e">
        <v>#N/A</v>
      </c>
      <c r="T1050" t="s">
        <v>34</v>
      </c>
      <c r="U1050" s="31" t="e">
        <v>#N/A</v>
      </c>
      <c r="V1050" t="s">
        <v>34</v>
      </c>
      <c r="Y1050" t="e">
        <f>VLOOKUP(A1050,[2]!PRGX[[#All],[Proveedor]],1,FALSE)</f>
        <v>#REF!</v>
      </c>
    </row>
    <row r="1051" spans="1:26" x14ac:dyDescent="0.25">
      <c r="A1051" s="25">
        <v>308619</v>
      </c>
      <c r="B1051" s="25" t="s">
        <v>1071</v>
      </c>
      <c r="C1051" s="26">
        <v>162</v>
      </c>
      <c r="D1051" s="27">
        <v>1701408</v>
      </c>
      <c r="E1051" s="27">
        <v>1087536</v>
      </c>
      <c r="F1051" s="27">
        <v>613872</v>
      </c>
      <c r="G1051" s="27">
        <f>VLOOKUP(A1051,'[1]saldos al 26May26'!$C$2:$I$1010,7,FALSE)</f>
        <v>6857.32</v>
      </c>
      <c r="H1051" s="39" t="s">
        <v>54</v>
      </c>
      <c r="I1051" s="28"/>
      <c r="J1051" s="29">
        <v>37857.353097866406</v>
      </c>
      <c r="K1051" s="25" t="s">
        <v>40</v>
      </c>
      <c r="L1051" s="25" t="s">
        <v>30</v>
      </c>
      <c r="M1051" s="25" t="s">
        <v>55</v>
      </c>
      <c r="N1051" s="25" t="s">
        <v>32</v>
      </c>
      <c r="O1051" t="s">
        <v>32</v>
      </c>
      <c r="P1051" s="30">
        <v>0</v>
      </c>
      <c r="Q1051" s="30">
        <v>0</v>
      </c>
      <c r="R1051" s="30">
        <v>1632.07</v>
      </c>
      <c r="S1051" s="30" t="e">
        <v>#N/A</v>
      </c>
      <c r="T1051" t="s">
        <v>34</v>
      </c>
      <c r="U1051" s="31" t="e">
        <v>#N/A</v>
      </c>
      <c r="V1051" t="s">
        <v>34</v>
      </c>
      <c r="Y1051" t="e">
        <f>VLOOKUP(A1051,[2]!PRGX[[#All],[Proveedor]],1,FALSE)</f>
        <v>#REF!</v>
      </c>
    </row>
    <row r="1052" spans="1:26" x14ac:dyDescent="0.25">
      <c r="A1052" s="25">
        <v>24333</v>
      </c>
      <c r="B1052" s="25" t="s">
        <v>1072</v>
      </c>
      <c r="C1052" s="26">
        <v>470</v>
      </c>
      <c r="D1052" s="27">
        <v>1370880</v>
      </c>
      <c r="E1052" s="27">
        <v>809280</v>
      </c>
      <c r="F1052" s="27">
        <v>561600</v>
      </c>
      <c r="G1052" s="27">
        <f>VLOOKUP(A1052,'[1]saldos al 26May26'!$C$2:$I$1010,7,FALSE)</f>
        <v>-18362</v>
      </c>
      <c r="H1052" s="27"/>
      <c r="I1052" s="28"/>
      <c r="J1052" s="29">
        <v>137358</v>
      </c>
      <c r="K1052" s="25" t="s">
        <v>40</v>
      </c>
      <c r="L1052" s="25" t="s">
        <v>30</v>
      </c>
      <c r="M1052" s="25" t="s">
        <v>55</v>
      </c>
      <c r="N1052" s="25" t="s">
        <v>96</v>
      </c>
      <c r="O1052" t="s">
        <v>96</v>
      </c>
      <c r="P1052" s="32">
        <v>-3360</v>
      </c>
      <c r="Q1052" s="30">
        <v>0</v>
      </c>
      <c r="R1052" s="30"/>
      <c r="S1052" s="30" t="e">
        <v>#N/A</v>
      </c>
      <c r="T1052" t="s">
        <v>34</v>
      </c>
      <c r="U1052" s="31" t="e">
        <v>#N/A</v>
      </c>
      <c r="V1052" t="s">
        <v>34</v>
      </c>
      <c r="Y1052" t="e">
        <f>VLOOKUP(A1052,[2]!PRGX[[#All],[Proveedor]],1,FALSE)</f>
        <v>#REF!</v>
      </c>
    </row>
  </sheetData>
  <mergeCells count="3">
    <mergeCell ref="A1:O1"/>
    <mergeCell ref="A2:O2"/>
    <mergeCell ref="P7:V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2026-07-23T13:01:02Z</dcterms:created>
  <dcterms:modified xsi:type="dcterms:W3CDTF">2026-07-23T17:23:57Z</dcterms:modified>
</cp:coreProperties>
</file>